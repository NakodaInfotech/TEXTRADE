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ABHEE FABRICS\"/>
    </mc:Choice>
  </mc:AlternateContent>
  <xr:revisionPtr revIDLastSave="0" documentId="8_{5BB73422-D86F-49DF-B45E-90C2AB40D61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89" i="1" l="1"/>
  <c r="I88" i="1"/>
  <c r="F88" i="1"/>
  <c r="M87" i="1"/>
  <c r="N87" i="1" s="1"/>
  <c r="H87" i="1"/>
  <c r="F87" i="1"/>
  <c r="M86" i="1"/>
  <c r="N86" i="1" s="1"/>
  <c r="O86" i="1" s="1"/>
  <c r="P86" i="1" s="1"/>
  <c r="J86" i="1"/>
  <c r="K86" i="1" s="1"/>
  <c r="I86" i="1"/>
  <c r="H86" i="1"/>
  <c r="F86" i="1"/>
  <c r="D86" i="1"/>
  <c r="D87" i="1" s="1"/>
  <c r="F84" i="1"/>
  <c r="M83" i="1"/>
  <c r="H83" i="1"/>
  <c r="F83" i="1"/>
  <c r="D83" i="1"/>
  <c r="M82" i="1"/>
  <c r="N82" i="1" s="1"/>
  <c r="O82" i="1" s="1"/>
  <c r="H82" i="1"/>
  <c r="F82" i="1"/>
  <c r="D82" i="1"/>
  <c r="M80" i="1"/>
  <c r="N80" i="1" s="1"/>
  <c r="H80" i="1"/>
  <c r="F80" i="1"/>
  <c r="D80" i="1"/>
  <c r="J78" i="1"/>
  <c r="F78" i="1"/>
  <c r="M77" i="1"/>
  <c r="N77" i="1" s="1"/>
  <c r="H77" i="1"/>
  <c r="F77" i="1"/>
  <c r="D77" i="1"/>
  <c r="M76" i="1"/>
  <c r="N76" i="1" s="1"/>
  <c r="H76" i="1"/>
  <c r="F76" i="1"/>
  <c r="D76" i="1"/>
  <c r="M75" i="1"/>
  <c r="N75" i="1" s="1"/>
  <c r="F75" i="1"/>
  <c r="H75" i="1" s="1"/>
  <c r="D75" i="1"/>
  <c r="M73" i="1"/>
  <c r="N73" i="1" s="1"/>
  <c r="F73" i="1"/>
  <c r="H73" i="1" s="1"/>
  <c r="D73" i="1"/>
  <c r="F71" i="1"/>
  <c r="M70" i="1"/>
  <c r="N70" i="1" s="1"/>
  <c r="F70" i="1"/>
  <c r="H70" i="1" s="1"/>
  <c r="D70" i="1"/>
  <c r="M67" i="1"/>
  <c r="N67" i="1" s="1"/>
  <c r="F67" i="1"/>
  <c r="H67" i="1" s="1"/>
  <c r="I67" i="1" s="1"/>
  <c r="J67" i="1" s="1"/>
  <c r="K67" i="1" s="1"/>
  <c r="M66" i="1"/>
  <c r="N66" i="1" s="1"/>
  <c r="H66" i="1"/>
  <c r="F66" i="1"/>
  <c r="M65" i="1"/>
  <c r="N65" i="1" s="1"/>
  <c r="F65" i="1"/>
  <c r="H65" i="1" s="1"/>
  <c r="M64" i="1"/>
  <c r="N64" i="1" s="1"/>
  <c r="O64" i="1" s="1"/>
  <c r="P64" i="1" s="1"/>
  <c r="I64" i="1"/>
  <c r="F64" i="1"/>
  <c r="H64" i="1" s="1"/>
  <c r="M63" i="1"/>
  <c r="N63" i="1" s="1"/>
  <c r="F63" i="1"/>
  <c r="H63" i="1" s="1"/>
  <c r="M62" i="1"/>
  <c r="N62" i="1" s="1"/>
  <c r="F62" i="1"/>
  <c r="H62" i="1" s="1"/>
  <c r="M61" i="1"/>
  <c r="N61" i="1" s="1"/>
  <c r="O61" i="1" s="1"/>
  <c r="P61" i="1" s="1"/>
  <c r="I61" i="1"/>
  <c r="F61" i="1"/>
  <c r="H61" i="1" s="1"/>
  <c r="J61" i="1" s="1"/>
  <c r="K61" i="1" s="1"/>
  <c r="M60" i="1"/>
  <c r="N60" i="1" s="1"/>
  <c r="F60" i="1"/>
  <c r="F68" i="1" s="1"/>
  <c r="D60" i="1"/>
  <c r="M59" i="1"/>
  <c r="N59" i="1" s="1"/>
  <c r="O59" i="1" s="1"/>
  <c r="P59" i="1" s="1"/>
  <c r="F59" i="1"/>
  <c r="H59" i="1" s="1"/>
  <c r="D59" i="1"/>
  <c r="M55" i="1"/>
  <c r="N55" i="1" s="1"/>
  <c r="O55" i="1" s="1"/>
  <c r="P55" i="1" s="1"/>
  <c r="H55" i="1"/>
  <c r="I55" i="1" s="1"/>
  <c r="J55" i="1" s="1"/>
  <c r="F55" i="1"/>
  <c r="M54" i="1"/>
  <c r="N54" i="1" s="1"/>
  <c r="O54" i="1" s="1"/>
  <c r="P54" i="1" s="1"/>
  <c r="H54" i="1"/>
  <c r="I54" i="1" s="1"/>
  <c r="J54" i="1" s="1"/>
  <c r="F54" i="1"/>
  <c r="M53" i="1"/>
  <c r="N53" i="1" s="1"/>
  <c r="F53" i="1"/>
  <c r="D53" i="1"/>
  <c r="D54" i="1" s="1"/>
  <c r="D55" i="1" s="1"/>
  <c r="M50" i="1"/>
  <c r="N50" i="1" s="1"/>
  <c r="O50" i="1" s="1"/>
  <c r="P50" i="1" s="1"/>
  <c r="F51" i="1" s="1"/>
  <c r="H50" i="1"/>
  <c r="I50" i="1" s="1"/>
  <c r="J50" i="1" s="1"/>
  <c r="K50" i="1" s="1"/>
  <c r="F50" i="1"/>
  <c r="D50" i="1"/>
  <c r="M49" i="1"/>
  <c r="N49" i="1" s="1"/>
  <c r="H49" i="1"/>
  <c r="I49" i="1" s="1"/>
  <c r="F49" i="1"/>
  <c r="D49" i="1"/>
  <c r="M46" i="1"/>
  <c r="N46" i="1" s="1"/>
  <c r="H46" i="1"/>
  <c r="F46" i="1"/>
  <c r="D46" i="1"/>
  <c r="D41" i="1" s="1"/>
  <c r="D42" i="1" s="1"/>
  <c r="M45" i="1"/>
  <c r="N45" i="1" s="1"/>
  <c r="F45" i="1"/>
  <c r="H45" i="1" s="1"/>
  <c r="M44" i="1"/>
  <c r="N44" i="1" s="1"/>
  <c r="O44" i="1" s="1"/>
  <c r="P44" i="1" s="1"/>
  <c r="I44" i="1"/>
  <c r="F44" i="1"/>
  <c r="H44" i="1" s="1"/>
  <c r="M43" i="1"/>
  <c r="N43" i="1" s="1"/>
  <c r="F43" i="1"/>
  <c r="H43" i="1" s="1"/>
  <c r="D43" i="1"/>
  <c r="D44" i="1" s="1"/>
  <c r="D45" i="1" s="1"/>
  <c r="M42" i="1"/>
  <c r="N42" i="1" s="1"/>
  <c r="O42" i="1" s="1"/>
  <c r="P42" i="1" s="1"/>
  <c r="H42" i="1"/>
  <c r="F42" i="1"/>
  <c r="M41" i="1"/>
  <c r="N41" i="1" s="1"/>
  <c r="F41" i="1"/>
  <c r="F47" i="1" s="1"/>
  <c r="Q39" i="1"/>
  <c r="P39" i="1"/>
  <c r="F39" i="1"/>
  <c r="M38" i="1"/>
  <c r="N38" i="1" s="1"/>
  <c r="F38" i="1"/>
  <c r="H38" i="1" s="1"/>
  <c r="D38" i="1"/>
  <c r="M35" i="1"/>
  <c r="N35" i="1" s="1"/>
  <c r="F35" i="1"/>
  <c r="H35" i="1" s="1"/>
  <c r="M34" i="1"/>
  <c r="N34" i="1" s="1"/>
  <c r="O34" i="1" s="1"/>
  <c r="P34" i="1" s="1"/>
  <c r="H34" i="1"/>
  <c r="J34" i="1" s="1"/>
  <c r="F34" i="1"/>
  <c r="M33" i="1"/>
  <c r="N33" i="1" s="1"/>
  <c r="F33" i="1"/>
  <c r="H33" i="1" s="1"/>
  <c r="M32" i="1"/>
  <c r="N32" i="1" s="1"/>
  <c r="F32" i="1"/>
  <c r="H32" i="1" s="1"/>
  <c r="D32" i="1"/>
  <c r="D33" i="1" s="1"/>
  <c r="D34" i="1" s="1"/>
  <c r="D35" i="1" s="1"/>
  <c r="M31" i="1"/>
  <c r="N31" i="1" s="1"/>
  <c r="F31" i="1"/>
  <c r="N27" i="1"/>
  <c r="M26" i="1"/>
  <c r="N26" i="1" s="1"/>
  <c r="F26" i="1"/>
  <c r="H26" i="1" s="1"/>
  <c r="I26" i="1" s="1"/>
  <c r="M25" i="1"/>
  <c r="N25" i="1" s="1"/>
  <c r="O25" i="1" s="1"/>
  <c r="H25" i="1"/>
  <c r="F25" i="1"/>
  <c r="M24" i="1"/>
  <c r="N24" i="1" s="1"/>
  <c r="F24" i="1"/>
  <c r="H24" i="1" s="1"/>
  <c r="M23" i="1"/>
  <c r="N23" i="1" s="1"/>
  <c r="O23" i="1" s="1"/>
  <c r="P23" i="1" s="1"/>
  <c r="H23" i="1"/>
  <c r="I23" i="1" s="1"/>
  <c r="J23" i="1" s="1"/>
  <c r="F23" i="1"/>
  <c r="M22" i="1"/>
  <c r="N22" i="1" s="1"/>
  <c r="F22" i="1"/>
  <c r="H22" i="1" s="1"/>
  <c r="M21" i="1"/>
  <c r="N21" i="1" s="1"/>
  <c r="O21" i="1" s="1"/>
  <c r="P21" i="1" s="1"/>
  <c r="H21" i="1"/>
  <c r="F21" i="1"/>
  <c r="M20" i="1"/>
  <c r="N20" i="1" s="1"/>
  <c r="F20" i="1"/>
  <c r="H20" i="1" s="1"/>
  <c r="M19" i="1"/>
  <c r="N19" i="1" s="1"/>
  <c r="F19" i="1"/>
  <c r="H19" i="1" s="1"/>
  <c r="M18" i="1"/>
  <c r="N18" i="1" s="1"/>
  <c r="F18" i="1"/>
  <c r="H18" i="1" s="1"/>
  <c r="I18" i="1" s="1"/>
  <c r="M17" i="1"/>
  <c r="N17" i="1" s="1"/>
  <c r="F17" i="1"/>
  <c r="F27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M13" i="1"/>
  <c r="N13" i="1" s="1"/>
  <c r="F13" i="1"/>
  <c r="H13" i="1" s="1"/>
  <c r="D13" i="1"/>
  <c r="M12" i="1"/>
  <c r="N12" i="1" s="1"/>
  <c r="H12" i="1"/>
  <c r="F12" i="1"/>
  <c r="D12" i="1"/>
  <c r="M11" i="1"/>
  <c r="N11" i="1" s="1"/>
  <c r="H11" i="1"/>
  <c r="F11" i="1"/>
  <c r="D11" i="1"/>
  <c r="F8" i="1"/>
  <c r="H8" i="1" s="1"/>
  <c r="M7" i="1"/>
  <c r="N7" i="1" s="1"/>
  <c r="O7" i="1" s="1"/>
  <c r="F7" i="1"/>
  <c r="H7" i="1" s="1"/>
  <c r="M6" i="1"/>
  <c r="N6" i="1" s="1"/>
  <c r="F6" i="1"/>
  <c r="H6" i="1" s="1"/>
  <c r="D6" i="1"/>
  <c r="D7" i="1" s="1"/>
  <c r="M5" i="1"/>
  <c r="N5" i="1" s="1"/>
  <c r="O5" i="1" s="1"/>
  <c r="P5" i="1" s="1"/>
  <c r="F5" i="1"/>
  <c r="H5" i="1" s="1"/>
  <c r="D5" i="1"/>
  <c r="M4" i="1"/>
  <c r="N4" i="1" s="1"/>
  <c r="F4" i="1"/>
  <c r="H4" i="1" s="1"/>
  <c r="D4" i="1"/>
  <c r="O63" i="1" l="1"/>
  <c r="P63" i="1" s="1"/>
  <c r="I63" i="1"/>
  <c r="J63" i="1" s="1"/>
  <c r="K63" i="1" s="1"/>
  <c r="O19" i="1"/>
  <c r="P19" i="1" s="1"/>
  <c r="I19" i="1"/>
  <c r="J19" i="1"/>
  <c r="O4" i="1"/>
  <c r="I4" i="1"/>
  <c r="I8" i="1" s="1"/>
  <c r="P4" i="1"/>
  <c r="O20" i="1"/>
  <c r="P20" i="1" s="1"/>
  <c r="I20" i="1"/>
  <c r="J20" i="1" s="1"/>
  <c r="I24" i="1"/>
  <c r="J24" i="1" s="1"/>
  <c r="O24" i="1"/>
  <c r="P24" i="1" s="1"/>
  <c r="F57" i="1"/>
  <c r="J75" i="1"/>
  <c r="K75" i="1" s="1"/>
  <c r="O35" i="1"/>
  <c r="P35" i="1" s="1"/>
  <c r="J35" i="1"/>
  <c r="I35" i="1"/>
  <c r="O38" i="1"/>
  <c r="P38" i="1" s="1"/>
  <c r="J38" i="1"/>
  <c r="K38" i="1" s="1"/>
  <c r="I38" i="1"/>
  <c r="O13" i="1"/>
  <c r="P13" i="1" s="1"/>
  <c r="I13" i="1"/>
  <c r="J13" i="1" s="1"/>
  <c r="O22" i="1"/>
  <c r="P22" i="1" s="1"/>
  <c r="I22" i="1"/>
  <c r="J22" i="1" s="1"/>
  <c r="O32" i="1"/>
  <c r="J32" i="1"/>
  <c r="P32" i="1"/>
  <c r="I32" i="1"/>
  <c r="O43" i="1"/>
  <c r="P43" i="1" s="1"/>
  <c r="J43" i="1"/>
  <c r="I43" i="1"/>
  <c r="O6" i="1"/>
  <c r="P6" i="1" s="1"/>
  <c r="I6" i="1"/>
  <c r="J6" i="1"/>
  <c r="K6" i="1" s="1"/>
  <c r="I33" i="1"/>
  <c r="O33" i="1"/>
  <c r="P33" i="1" s="1"/>
  <c r="P7" i="1"/>
  <c r="H14" i="1"/>
  <c r="H41" i="1"/>
  <c r="O67" i="1"/>
  <c r="P67" i="1" s="1"/>
  <c r="I11" i="1"/>
  <c r="H60" i="1"/>
  <c r="I80" i="1"/>
  <c r="J80" i="1" s="1"/>
  <c r="K80" i="1" s="1"/>
  <c r="O80" i="1"/>
  <c r="P80" i="1" s="1"/>
  <c r="J7" i="1"/>
  <c r="K7" i="1" s="1"/>
  <c r="O26" i="1"/>
  <c r="P26" i="1" s="1"/>
  <c r="O49" i="1"/>
  <c r="P49" i="1" s="1"/>
  <c r="P51" i="1" s="1"/>
  <c r="I12" i="1"/>
  <c r="J12" i="1" s="1"/>
  <c r="H17" i="1"/>
  <c r="F36" i="1"/>
  <c r="O12" i="1"/>
  <c r="P12" i="1" s="1"/>
  <c r="I77" i="1"/>
  <c r="J76" i="1" s="1"/>
  <c r="K76" i="1" s="1"/>
  <c r="O77" i="1"/>
  <c r="P77" i="1" s="1"/>
  <c r="J77" i="1"/>
  <c r="O62" i="1"/>
  <c r="P62" i="1" s="1"/>
  <c r="I62" i="1"/>
  <c r="J62" i="1" s="1"/>
  <c r="K62" i="1" s="1"/>
  <c r="J26" i="1"/>
  <c r="J49" i="1"/>
  <c r="K49" i="1" s="1"/>
  <c r="H53" i="1"/>
  <c r="O65" i="1"/>
  <c r="P65" i="1" s="1"/>
  <c r="I65" i="1"/>
  <c r="J65" i="1" s="1"/>
  <c r="K65" i="1" s="1"/>
  <c r="J11" i="1"/>
  <c r="K11" i="1" s="1"/>
  <c r="I75" i="1"/>
  <c r="O75" i="1"/>
  <c r="P75" i="1" s="1"/>
  <c r="I7" i="1"/>
  <c r="J18" i="1"/>
  <c r="F56" i="1"/>
  <c r="I5" i="1"/>
  <c r="J5" i="1" s="1"/>
  <c r="K5" i="1" s="1"/>
  <c r="O73" i="1"/>
  <c r="P73" i="1" s="1"/>
  <c r="Q73" i="1" s="1"/>
  <c r="I73" i="1"/>
  <c r="J73" i="1"/>
  <c r="K73" i="1" s="1"/>
  <c r="O46" i="1"/>
  <c r="P46" i="1" s="1"/>
  <c r="O66" i="1"/>
  <c r="P66" i="1" s="1"/>
  <c r="H71" i="1"/>
  <c r="O70" i="1"/>
  <c r="P70" i="1" s="1"/>
  <c r="P71" i="1" s="1"/>
  <c r="Q71" i="1" s="1"/>
  <c r="I70" i="1"/>
  <c r="J70" i="1" s="1"/>
  <c r="K70" i="1" s="1"/>
  <c r="P11" i="1"/>
  <c r="O18" i="1"/>
  <c r="P18" i="1" s="1"/>
  <c r="I46" i="1"/>
  <c r="I66" i="1"/>
  <c r="J66" i="1" s="1"/>
  <c r="K66" i="1" s="1"/>
  <c r="P82" i="1"/>
  <c r="J82" i="1"/>
  <c r="K82" i="1" s="1"/>
  <c r="I82" i="1"/>
  <c r="H84" i="1"/>
  <c r="O87" i="1"/>
  <c r="P87" i="1" s="1"/>
  <c r="P88" i="1" s="1"/>
  <c r="Q88" i="1" s="1"/>
  <c r="D61" i="1"/>
  <c r="D62" i="1" s="1"/>
  <c r="D63" i="1" s="1"/>
  <c r="D64" i="1"/>
  <c r="D65" i="1" s="1"/>
  <c r="D66" i="1" s="1"/>
  <c r="D67" i="1" s="1"/>
  <c r="O45" i="1"/>
  <c r="P45" i="1" s="1"/>
  <c r="J45" i="1"/>
  <c r="I45" i="1"/>
  <c r="J44" i="1" s="1"/>
  <c r="K44" i="1" s="1"/>
  <c r="O11" i="1"/>
  <c r="P25" i="1"/>
  <c r="F14" i="1"/>
  <c r="I25" i="1"/>
  <c r="J25" i="1" s="1"/>
  <c r="J42" i="1"/>
  <c r="I59" i="1"/>
  <c r="J59" i="1" s="1"/>
  <c r="K59" i="1" s="1"/>
  <c r="J64" i="1"/>
  <c r="K64" i="1" s="1"/>
  <c r="O83" i="1"/>
  <c r="P83" i="1" s="1"/>
  <c r="I21" i="1"/>
  <c r="J21" i="1" s="1"/>
  <c r="I34" i="1"/>
  <c r="I42" i="1"/>
  <c r="H31" i="1"/>
  <c r="I76" i="1"/>
  <c r="I87" i="1"/>
  <c r="J87" i="1"/>
  <c r="K87" i="1" s="1"/>
  <c r="O76" i="1"/>
  <c r="P76" i="1" s="1"/>
  <c r="O8" i="1" l="1"/>
  <c r="P78" i="1"/>
  <c r="Q78" i="1" s="1"/>
  <c r="H27" i="1"/>
  <c r="O27" i="1" s="1"/>
  <c r="O17" i="1"/>
  <c r="P17" i="1" s="1"/>
  <c r="P27" i="1" s="1"/>
  <c r="Q27" i="1" s="1"/>
  <c r="I17" i="1"/>
  <c r="J17" i="1" s="1"/>
  <c r="P8" i="1"/>
  <c r="Q8" i="1" s="1"/>
  <c r="O53" i="1"/>
  <c r="P53" i="1" s="1"/>
  <c r="H56" i="1"/>
  <c r="I53" i="1"/>
  <c r="J53" i="1" s="1"/>
  <c r="K53" i="1" s="1"/>
  <c r="K54" i="1" s="1"/>
  <c r="K55" i="1" s="1"/>
  <c r="K12" i="1"/>
  <c r="K13" i="1" s="1"/>
  <c r="J4" i="1"/>
  <c r="K32" i="1"/>
  <c r="K42" i="1"/>
  <c r="K43" i="1" s="1"/>
  <c r="P14" i="1"/>
  <c r="Q14" i="1" s="1"/>
  <c r="P84" i="1"/>
  <c r="Q84" i="1" s="1"/>
  <c r="O14" i="1"/>
  <c r="O60" i="1"/>
  <c r="P60" i="1" s="1"/>
  <c r="P68" i="1" s="1"/>
  <c r="Q68" i="1" s="1"/>
  <c r="H68" i="1"/>
  <c r="I60" i="1"/>
  <c r="J60" i="1" s="1"/>
  <c r="K60" i="1" s="1"/>
  <c r="K77" i="1"/>
  <c r="I14" i="1"/>
  <c r="K45" i="1"/>
  <c r="J31" i="1"/>
  <c r="K31" i="1" s="1"/>
  <c r="H36" i="1"/>
  <c r="O31" i="1"/>
  <c r="P31" i="1" s="1"/>
  <c r="P36" i="1" s="1"/>
  <c r="Q36" i="1" s="1"/>
  <c r="I31" i="1"/>
  <c r="I36" i="1" s="1"/>
  <c r="J33" i="1" s="1"/>
  <c r="K33" i="1" s="1"/>
  <c r="K34" i="1" s="1"/>
  <c r="K35" i="1" s="1"/>
  <c r="O41" i="1"/>
  <c r="P41" i="1" s="1"/>
  <c r="P47" i="1" s="1"/>
  <c r="Q47" i="1" s="1"/>
  <c r="J41" i="1"/>
  <c r="K41" i="1" s="1"/>
  <c r="I41" i="1"/>
  <c r="J46" i="1" s="1"/>
  <c r="K46" i="1" s="1"/>
  <c r="P56" i="1" l="1"/>
  <c r="Q56" i="1" s="1"/>
  <c r="J27" i="1"/>
  <c r="K17" i="1"/>
  <c r="K18" i="1" s="1"/>
  <c r="K19" i="1" s="1"/>
  <c r="K20" i="1" s="1"/>
  <c r="K21" i="1" s="1"/>
  <c r="K22" i="1" s="1"/>
  <c r="K23" i="1" s="1"/>
  <c r="K24" i="1" s="1"/>
  <c r="K25" i="1" s="1"/>
  <c r="K4" i="1"/>
  <c r="J8" i="1"/>
  <c r="P57" i="1" l="1"/>
  <c r="Q57" i="1" s="1"/>
  <c r="K27" i="1"/>
  <c r="K26" i="1"/>
</calcChain>
</file>

<file path=xl/sharedStrings.xml><?xml version="1.0" encoding="utf-8"?>
<sst xmlns="http://schemas.openxmlformats.org/spreadsheetml/2006/main" count="130" uniqueCount="59">
  <si>
    <t>ABHEE FABRICS LLP STOCK LIST</t>
  </si>
  <si>
    <t>64 X 64</t>
  </si>
  <si>
    <t>NO</t>
  </si>
  <si>
    <t>GROUP</t>
  </si>
  <si>
    <t>LR</t>
  </si>
  <si>
    <t>CUM.</t>
  </si>
  <si>
    <t xml:space="preserve"> MTRS</t>
  </si>
  <si>
    <t>MTRS</t>
  </si>
  <si>
    <t>RATE</t>
  </si>
  <si>
    <t>AMOUNT</t>
  </si>
  <si>
    <t>GST</t>
  </si>
  <si>
    <t>CUML</t>
  </si>
  <si>
    <t>DATE</t>
  </si>
  <si>
    <t>TODAY</t>
  </si>
  <si>
    <t>DAYS</t>
  </si>
  <si>
    <t>INT</t>
  </si>
  <si>
    <t>WITH INT</t>
  </si>
  <si>
    <t>ARATE</t>
  </si>
  <si>
    <t>SJ</t>
  </si>
  <si>
    <t>jainam</t>
  </si>
  <si>
    <t>68*68</t>
  </si>
  <si>
    <t>CUM3</t>
  </si>
  <si>
    <t>JAINUM</t>
  </si>
  <si>
    <t>1.75 %</t>
  </si>
  <si>
    <t>JAINUM US</t>
  </si>
  <si>
    <t>MEGA</t>
  </si>
  <si>
    <t>72/62</t>
  </si>
  <si>
    <t>bheru jtc</t>
  </si>
  <si>
    <t>BHERU</t>
  </si>
  <si>
    <t>RAJESHRI - BHERU</t>
  </si>
  <si>
    <t>DM</t>
  </si>
  <si>
    <t>SM-DM</t>
  </si>
  <si>
    <t>SR</t>
  </si>
  <si>
    <t>MEGHA</t>
  </si>
  <si>
    <t>M.A</t>
  </si>
  <si>
    <t>76/66 93</t>
  </si>
  <si>
    <t>76 X 76</t>
  </si>
  <si>
    <t>MARUTI</t>
  </si>
  <si>
    <t xml:space="preserve">rajshree </t>
  </si>
  <si>
    <t>PC DENDING</t>
  </si>
  <si>
    <t>MADHU</t>
  </si>
  <si>
    <t xml:space="preserve">anabia </t>
  </si>
  <si>
    <t>PC DUPPTTA</t>
  </si>
  <si>
    <t>SJ-44</t>
  </si>
  <si>
    <t>SJ-42</t>
  </si>
  <si>
    <t>8.600 PC 78.66.68</t>
  </si>
  <si>
    <t>Dm</t>
  </si>
  <si>
    <t>RAJESHRI</t>
  </si>
  <si>
    <t xml:space="preserve">8.200 PC </t>
  </si>
  <si>
    <t>MAGIC</t>
  </si>
  <si>
    <t>M.LAXMI</t>
  </si>
  <si>
    <t>NAKODA</t>
  </si>
  <si>
    <t>JAM 144.66</t>
  </si>
  <si>
    <t>TWO TONE</t>
  </si>
  <si>
    <t>RAYON</t>
  </si>
  <si>
    <t>SANTHIL</t>
  </si>
  <si>
    <t>VP</t>
  </si>
  <si>
    <t>LRS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</si>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</sst>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d&quot;/&quot;m&quot;/&quot;yy"/>
    <numFmt numFmtId="166" formatCode="mm/dd/yy"/>
    <numFmt numFmtId="167" formatCode="0.000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rgb="FFFFFFFF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4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165" fontId="11" fillId="7" borderId="4" xfId="0" applyNumberFormat="1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1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2" fontId="11" fillId="8" borderId="4" xfId="0" applyNumberFormat="1" applyFont="1" applyFill="1" applyBorder="1" applyAlignment="1">
      <alignment horizontal="center" vertical="center"/>
    </xf>
    <xf numFmtId="1" fontId="11" fillId="8" borderId="4" xfId="0" applyNumberFormat="1" applyFont="1" applyFill="1" applyBorder="1" applyAlignment="1">
      <alignment horizontal="center" vertical="center"/>
    </xf>
    <xf numFmtId="166" fontId="11" fillId="8" borderId="4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65" fontId="3" fillId="8" borderId="4" xfId="0" applyNumberFormat="1" applyFont="1" applyFill="1" applyBorder="1" applyAlignment="1">
      <alignment horizontal="center" vertical="center"/>
    </xf>
    <xf numFmtId="1" fontId="3" fillId="8" borderId="4" xfId="0" applyNumberFormat="1" applyFont="1" applyFill="1" applyBorder="1" applyAlignment="1">
      <alignment horizontal="center" vertical="center"/>
    </xf>
    <xf numFmtId="10" fontId="8" fillId="4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 vertical="center"/>
    </xf>
    <xf numFmtId="1" fontId="3" fillId="9" borderId="4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 vertical="center"/>
    </xf>
    <xf numFmtId="165" fontId="3" fillId="9" borderId="4" xfId="0" applyNumberFormat="1" applyFont="1" applyFill="1" applyBorder="1" applyAlignment="1">
      <alignment horizontal="center" vertical="center"/>
    </xf>
    <xf numFmtId="167" fontId="3" fillId="3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2" fontId="3" fillId="10" borderId="4" xfId="0" applyNumberFormat="1" applyFont="1" applyFill="1" applyBorder="1" applyAlignment="1">
      <alignment horizontal="center" vertical="center"/>
    </xf>
    <xf numFmtId="1" fontId="3" fillId="10" borderId="4" xfId="0" applyNumberFormat="1" applyFont="1" applyFill="1" applyBorder="1" applyAlignment="1">
      <alignment horizontal="center" vertical="center"/>
    </xf>
    <xf numFmtId="164" fontId="3" fillId="10" borderId="4" xfId="0" applyNumberFormat="1" applyFont="1" applyFill="1" applyBorder="1" applyAlignment="1">
      <alignment horizontal="center" vertical="center"/>
    </xf>
    <xf numFmtId="165" fontId="3" fillId="10" borderId="4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2" fontId="3" fillId="11" borderId="4" xfId="0" applyNumberFormat="1" applyFont="1" applyFill="1" applyBorder="1" applyAlignment="1">
      <alignment horizontal="center" vertical="center"/>
    </xf>
    <xf numFmtId="1" fontId="3" fillId="11" borderId="4" xfId="0" applyNumberFormat="1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165" fontId="3" fillId="11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2" fontId="3" fillId="12" borderId="4" xfId="0" applyNumberFormat="1" applyFont="1" applyFill="1" applyBorder="1" applyAlignment="1">
      <alignment horizontal="center" vertical="center"/>
    </xf>
    <xf numFmtId="1" fontId="3" fillId="12" borderId="4" xfId="0" applyNumberFormat="1" applyFont="1" applyFill="1" applyBorder="1" applyAlignment="1">
      <alignment horizontal="center" vertical="center"/>
    </xf>
    <xf numFmtId="3" fontId="3" fillId="12" borderId="4" xfId="0" applyNumberFormat="1" applyFont="1" applyFill="1" applyBorder="1" applyAlignment="1">
      <alignment horizontal="center" vertical="center"/>
    </xf>
    <xf numFmtId="164" fontId="3" fillId="12" borderId="4" xfId="0" applyNumberFormat="1" applyFont="1" applyFill="1" applyBorder="1" applyAlignment="1">
      <alignment horizontal="center" vertical="center"/>
    </xf>
    <xf numFmtId="165" fontId="3" fillId="12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0" fontId="16" fillId="0" borderId="4" xfId="0" applyFont="1" applyBorder="1"/>
    <xf numFmtId="0" fontId="15" fillId="0" borderId="4" xfId="0" applyFont="1" applyBorder="1"/>
    <xf numFmtId="0" fontId="17" fillId="0" borderId="4" xfId="0" applyFont="1" applyBorder="1"/>
    <xf numFmtId="0" fontId="6" fillId="5" borderId="5" xfId="0" applyFont="1" applyFill="1" applyBorder="1" applyAlignment="1">
      <alignment horizontal="center" vertical="center" textRotation="180" wrapText="1"/>
    </xf>
    <xf numFmtId="0" fontId="2" fillId="0" borderId="6" xfId="0" applyFont="1" applyBorder="1"/>
    <xf numFmtId="0" fontId="2" fillId="0" borderId="7" xfId="0" applyFont="1" applyBorder="1"/>
    <xf numFmtId="0" fontId="9" fillId="4" borderId="5" xfId="0" applyFont="1" applyFill="1" applyBorder="1" applyAlignment="1">
      <alignment horizontal="center" vertical="center" textRotation="180" wrapText="1"/>
    </xf>
    <xf numFmtId="10" fontId="11" fillId="7" borderId="5" xfId="0" applyNumberFormat="1" applyFont="1" applyFill="1" applyBorder="1" applyAlignment="1">
      <alignment horizontal="center" vertical="center"/>
    </xf>
    <xf numFmtId="10" fontId="14" fillId="4" borderId="5" xfId="0" applyNumberFormat="1" applyFont="1" applyFill="1" applyBorder="1" applyAlignment="1">
      <alignment horizontal="center" vertical="center" textRotation="180" wrapText="1"/>
    </xf>
    <xf numFmtId="10" fontId="8" fillId="4" borderId="5" xfId="0" applyNumberFormat="1" applyFont="1" applyFill="1" applyBorder="1" applyAlignment="1">
      <alignment horizontal="center" vertical="center" textRotation="180" wrapText="1"/>
    </xf>
    <xf numFmtId="0" fontId="3" fillId="12" borderId="5" xfId="0" applyFont="1" applyFill="1" applyBorder="1" applyAlignment="1">
      <alignment horizontal="center" vertical="center"/>
    </xf>
    <xf numFmtId="10" fontId="3" fillId="4" borderId="5" xfId="0" applyNumberFormat="1" applyFont="1" applyFill="1" applyBorder="1" applyAlignment="1">
      <alignment horizontal="center" vertical="center" textRotation="180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/>
    </xf>
    <xf numFmtId="10" fontId="3" fillId="5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36"/>
  <sheetViews>
    <sheetView tabSelected="1" workbookViewId="0">
      <pane ySplit="3" topLeftCell="A4" activePane="bottomLeft" state="frozen"/>
      <selection pane="bottomLeft" activeCell="D7" sqref="D7"/>
    </sheetView>
  </sheetViews>
  <sheetFormatPr defaultColWidth="12.5703125" defaultRowHeight="15.75" customHeight="1" x14ac:dyDescent="0.2"/>
  <cols>
    <col min="1" max="1" width="4" customWidth="1"/>
    <col min="2" max="2" width="17" customWidth="1"/>
    <col min="3" max="3" width="5" customWidth="1"/>
    <col min="4" max="4" width="6.7109375" customWidth="1"/>
    <col min="5" max="5" width="6.28515625" customWidth="1"/>
    <col min="6" max="6" width="10.140625" customWidth="1"/>
    <col min="7" max="7" width="7.7109375" bestFit="1" customWidth="1"/>
    <col min="8" max="8" width="11.5703125" bestFit="1" customWidth="1"/>
    <col min="9" max="9" width="9.85546875" customWidth="1"/>
    <col min="10" max="10" width="12.5703125" customWidth="1"/>
    <col min="11" max="11" width="11.5703125" bestFit="1" customWidth="1"/>
    <col min="12" max="13" width="10.140625" bestFit="1" customWidth="1"/>
    <col min="14" max="14" width="6.42578125" customWidth="1"/>
    <col min="15" max="15" width="9" bestFit="1" customWidth="1"/>
    <col min="17" max="17" width="7.7109375" customWidth="1"/>
  </cols>
  <sheetData>
    <row r="1" spans="1:27" x14ac:dyDescent="0.2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95" t="s">
        <v>1</v>
      </c>
      <c r="B2" s="94"/>
      <c r="C2" s="2"/>
      <c r="D2" s="2"/>
      <c r="E2" s="2"/>
      <c r="F2" s="2"/>
      <c r="G2" s="3"/>
      <c r="H2" s="2"/>
      <c r="I2" s="2"/>
      <c r="J2" s="2"/>
      <c r="K2" s="2"/>
      <c r="L2" s="4"/>
      <c r="M2" s="5"/>
      <c r="N2" s="2"/>
      <c r="O2" s="6"/>
      <c r="P2" s="2"/>
      <c r="Q2" s="7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9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9">
        <v>1</v>
      </c>
      <c r="B4" s="9" t="s">
        <v>18</v>
      </c>
      <c r="C4" s="9">
        <v>17</v>
      </c>
      <c r="D4" s="9">
        <f>C4</f>
        <v>17</v>
      </c>
      <c r="E4" s="9">
        <v>7500</v>
      </c>
      <c r="F4" s="9">
        <f t="shared" ref="F4:F7" si="0">C4*E4</f>
        <v>127500</v>
      </c>
      <c r="G4" s="10">
        <v>28.55</v>
      </c>
      <c r="H4" s="9">
        <f t="shared" ref="H4:H8" si="1">F4*G4</f>
        <v>3640125</v>
      </c>
      <c r="I4" s="11">
        <f t="shared" ref="I4:I7" si="2">H4*5%</f>
        <v>182006.25</v>
      </c>
      <c r="J4" s="11">
        <f t="shared" ref="J4:J7" si="3">H4+I4</f>
        <v>3822131.25</v>
      </c>
      <c r="K4" s="11">
        <f t="shared" ref="K4:K7" si="4">J4</f>
        <v>3822131.25</v>
      </c>
      <c r="L4" s="12">
        <v>45968</v>
      </c>
      <c r="M4" s="13">
        <f t="shared" ref="M4:M7" ca="1" si="5">TODAY()</f>
        <v>46020</v>
      </c>
      <c r="N4" s="9">
        <f t="shared" ref="N4:N7" ca="1" si="6">M4-L4</f>
        <v>52</v>
      </c>
      <c r="O4" s="11">
        <f t="shared" ref="O4:O7" ca="1" si="7">H4*1.75%/30*N4</f>
        <v>110417.12500000003</v>
      </c>
      <c r="P4" s="11">
        <f t="shared" ref="P4:P7" ca="1" si="8">H4+O4</f>
        <v>3750542.125</v>
      </c>
      <c r="Q4" s="96">
        <v>1.7500000000000002E-2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9">
        <v>2</v>
      </c>
      <c r="B5" s="9" t="s">
        <v>18</v>
      </c>
      <c r="C5" s="9">
        <v>22</v>
      </c>
      <c r="D5" s="9">
        <f t="shared" ref="D5:D7" si="9">C5+D4</f>
        <v>39</v>
      </c>
      <c r="E5" s="9">
        <v>7500</v>
      </c>
      <c r="F5" s="9">
        <f t="shared" si="0"/>
        <v>165000</v>
      </c>
      <c r="G5" s="10">
        <v>27.3</v>
      </c>
      <c r="H5" s="9">
        <f t="shared" si="1"/>
        <v>4504500</v>
      </c>
      <c r="I5" s="11">
        <f t="shared" si="2"/>
        <v>225225</v>
      </c>
      <c r="J5" s="11">
        <f t="shared" si="3"/>
        <v>4729725</v>
      </c>
      <c r="K5" s="11">
        <f t="shared" si="4"/>
        <v>4729725</v>
      </c>
      <c r="L5" s="12">
        <v>45901</v>
      </c>
      <c r="M5" s="13">
        <f t="shared" ca="1" si="5"/>
        <v>46020</v>
      </c>
      <c r="N5" s="9">
        <f t="shared" ca="1" si="6"/>
        <v>119</v>
      </c>
      <c r="O5" s="11">
        <f t="shared" ca="1" si="7"/>
        <v>312687.37500000006</v>
      </c>
      <c r="P5" s="11">
        <f t="shared" ca="1" si="8"/>
        <v>4817187.375</v>
      </c>
      <c r="Q5" s="84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9">
        <v>3</v>
      </c>
      <c r="B6" s="9" t="s">
        <v>18</v>
      </c>
      <c r="C6" s="9">
        <v>30</v>
      </c>
      <c r="D6" s="9">
        <f t="shared" si="9"/>
        <v>69</v>
      </c>
      <c r="E6" s="9">
        <v>7500</v>
      </c>
      <c r="F6" s="9">
        <f t="shared" si="0"/>
        <v>225000</v>
      </c>
      <c r="G6" s="10">
        <v>28.05</v>
      </c>
      <c r="H6" s="9">
        <f t="shared" si="1"/>
        <v>6311250</v>
      </c>
      <c r="I6" s="11">
        <f t="shared" si="2"/>
        <v>315562.5</v>
      </c>
      <c r="J6" s="11">
        <f t="shared" si="3"/>
        <v>6626812.5</v>
      </c>
      <c r="K6" s="11">
        <f t="shared" si="4"/>
        <v>6626812.5</v>
      </c>
      <c r="L6" s="12">
        <v>45962</v>
      </c>
      <c r="M6" s="13">
        <f t="shared" ca="1" si="5"/>
        <v>46020</v>
      </c>
      <c r="N6" s="9">
        <f t="shared" ca="1" si="6"/>
        <v>58</v>
      </c>
      <c r="O6" s="11">
        <f t="shared" ca="1" si="7"/>
        <v>213530.62500000003</v>
      </c>
      <c r="P6" s="11">
        <f t="shared" ca="1" si="8"/>
        <v>6524780.625</v>
      </c>
      <c r="Q6" s="84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4">
        <v>4</v>
      </c>
      <c r="B7" s="14" t="s">
        <v>19</v>
      </c>
      <c r="C7" s="9">
        <v>2</v>
      </c>
      <c r="D7" s="9">
        <f t="shared" si="9"/>
        <v>71</v>
      </c>
      <c r="E7" s="9">
        <v>6500</v>
      </c>
      <c r="F7" s="9">
        <f t="shared" si="0"/>
        <v>13000</v>
      </c>
      <c r="G7" s="10">
        <v>27.9</v>
      </c>
      <c r="H7" s="9">
        <f t="shared" si="1"/>
        <v>362700</v>
      </c>
      <c r="I7" s="11">
        <f t="shared" si="2"/>
        <v>18135</v>
      </c>
      <c r="J7" s="11">
        <f t="shared" si="3"/>
        <v>380835</v>
      </c>
      <c r="K7" s="11">
        <f t="shared" si="4"/>
        <v>380835</v>
      </c>
      <c r="L7" s="12">
        <v>46003</v>
      </c>
      <c r="M7" s="13">
        <f t="shared" ca="1" si="5"/>
        <v>46020</v>
      </c>
      <c r="N7" s="9">
        <f t="shared" ca="1" si="6"/>
        <v>17</v>
      </c>
      <c r="O7" s="11">
        <f t="shared" ca="1" si="7"/>
        <v>3596.7750000000001</v>
      </c>
      <c r="P7" s="11">
        <f t="shared" ca="1" si="8"/>
        <v>366296.77500000002</v>
      </c>
      <c r="Q7" s="85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4"/>
      <c r="B8" s="14"/>
      <c r="C8" s="9"/>
      <c r="D8" s="9"/>
      <c r="E8" s="9"/>
      <c r="F8" s="9">
        <f>SUM(F4:F7)</f>
        <v>530500</v>
      </c>
      <c r="G8" s="10"/>
      <c r="H8" s="9">
        <f t="shared" si="1"/>
        <v>0</v>
      </c>
      <c r="I8" s="11">
        <f t="shared" ref="I8:J8" si="10">SUM(I4:I7)</f>
        <v>740928.75</v>
      </c>
      <c r="J8" s="11">
        <f t="shared" si="10"/>
        <v>15559503.75</v>
      </c>
      <c r="K8" s="11"/>
      <c r="L8" s="9"/>
      <c r="M8" s="13"/>
      <c r="N8" s="9"/>
      <c r="O8" s="11">
        <f t="shared" ref="O8:P8" ca="1" si="11">SUM(O4:O7)</f>
        <v>640231.90000000014</v>
      </c>
      <c r="P8" s="11">
        <f t="shared" ca="1" si="11"/>
        <v>15458806.9</v>
      </c>
      <c r="Q8" s="10">
        <f ca="1">P8/F8</f>
        <v>29.140069557021679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97" t="s">
        <v>20</v>
      </c>
      <c r="B9" s="94"/>
      <c r="C9" s="2"/>
      <c r="D9" s="2"/>
      <c r="E9" s="2"/>
      <c r="F9" s="2"/>
      <c r="G9" s="3"/>
      <c r="H9" s="2"/>
      <c r="I9" s="2"/>
      <c r="J9" s="2"/>
      <c r="K9" s="2"/>
      <c r="L9" s="2"/>
      <c r="M9" s="5"/>
      <c r="N9" s="2"/>
      <c r="O9" s="6"/>
      <c r="P9" s="2"/>
      <c r="Q9" s="2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8" t="s">
        <v>2</v>
      </c>
      <c r="B10" s="8" t="s">
        <v>3</v>
      </c>
      <c r="C10" s="8"/>
      <c r="D10" s="8" t="s">
        <v>21</v>
      </c>
      <c r="E10" s="8" t="s">
        <v>6</v>
      </c>
      <c r="F10" s="8" t="s">
        <v>7</v>
      </c>
      <c r="G10" s="8" t="s">
        <v>8</v>
      </c>
      <c r="H10" s="8"/>
      <c r="I10" s="8" t="s">
        <v>10</v>
      </c>
      <c r="J10" s="8"/>
      <c r="K10" s="8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P10" s="8" t="s">
        <v>16</v>
      </c>
      <c r="Q10" s="8" t="s">
        <v>17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9">
        <v>1</v>
      </c>
      <c r="B11" s="9" t="s">
        <v>22</v>
      </c>
      <c r="C11" s="9">
        <v>1</v>
      </c>
      <c r="D11" s="9">
        <f>C11</f>
        <v>1</v>
      </c>
      <c r="E11" s="9">
        <v>6500</v>
      </c>
      <c r="F11" s="9">
        <f t="shared" ref="F11:F13" si="12">C11*E11</f>
        <v>6500</v>
      </c>
      <c r="G11" s="10">
        <v>29.85</v>
      </c>
      <c r="H11" s="9">
        <f t="shared" ref="H11:H13" si="13">F11*G11</f>
        <v>194025</v>
      </c>
      <c r="I11" s="11">
        <f t="shared" ref="I11:I13" si="14">H11*5%</f>
        <v>9701.25</v>
      </c>
      <c r="J11" s="11">
        <f t="shared" ref="J11:J13" si="15">H11+I11</f>
        <v>203726.25</v>
      </c>
      <c r="K11" s="11">
        <f>J11</f>
        <v>203726.25</v>
      </c>
      <c r="L11" s="12">
        <v>45839</v>
      </c>
      <c r="M11" s="13">
        <f t="shared" ref="M11:M13" ca="1" si="16">TODAY()</f>
        <v>46020</v>
      </c>
      <c r="N11" s="9">
        <f t="shared" ref="N11:N13" ca="1" si="17">M11-L11</f>
        <v>181</v>
      </c>
      <c r="O11" s="11">
        <f t="shared" ref="O11:O13" ca="1" si="18">H11*1.75%/30*N11</f>
        <v>20485.806250000005</v>
      </c>
      <c r="P11" s="11">
        <f t="shared" ref="P11:P13" ca="1" si="19">H11+O11</f>
        <v>214510.80624999999</v>
      </c>
      <c r="Q11" s="83" t="s">
        <v>23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9">
        <v>2</v>
      </c>
      <c r="B12" s="15" t="s">
        <v>24</v>
      </c>
      <c r="C12" s="9">
        <v>3</v>
      </c>
      <c r="D12" s="9">
        <f t="shared" ref="D12:D13" si="20">D11+C12</f>
        <v>4</v>
      </c>
      <c r="E12" s="9">
        <v>6500</v>
      </c>
      <c r="F12" s="9">
        <f t="shared" si="12"/>
        <v>19500</v>
      </c>
      <c r="G12" s="10">
        <v>29.85</v>
      </c>
      <c r="H12" s="9">
        <f t="shared" si="13"/>
        <v>582075</v>
      </c>
      <c r="I12" s="11">
        <f t="shared" si="14"/>
        <v>29103.75</v>
      </c>
      <c r="J12" s="11">
        <f t="shared" si="15"/>
        <v>611178.75</v>
      </c>
      <c r="K12" s="11">
        <f t="shared" ref="K12:K13" si="21">K11+J12</f>
        <v>814905</v>
      </c>
      <c r="L12" s="12">
        <v>45839</v>
      </c>
      <c r="M12" s="13">
        <f t="shared" ca="1" si="16"/>
        <v>46020</v>
      </c>
      <c r="N12" s="9">
        <f t="shared" ca="1" si="17"/>
        <v>181</v>
      </c>
      <c r="O12" s="11">
        <f t="shared" ca="1" si="18"/>
        <v>61457.418750000012</v>
      </c>
      <c r="P12" s="11">
        <f t="shared" ca="1" si="19"/>
        <v>643532.41874999995</v>
      </c>
      <c r="Q12" s="84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9">
        <v>3</v>
      </c>
      <c r="B13" s="9" t="s">
        <v>25</v>
      </c>
      <c r="C13" s="9">
        <v>13</v>
      </c>
      <c r="D13" s="9">
        <f t="shared" si="20"/>
        <v>17</v>
      </c>
      <c r="E13" s="9">
        <v>6500</v>
      </c>
      <c r="F13" s="9">
        <f t="shared" si="12"/>
        <v>84500</v>
      </c>
      <c r="G13" s="10">
        <v>29.5</v>
      </c>
      <c r="H13" s="9">
        <f t="shared" si="13"/>
        <v>2492750</v>
      </c>
      <c r="I13" s="11">
        <f t="shared" si="14"/>
        <v>124637.5</v>
      </c>
      <c r="J13" s="11">
        <f t="shared" si="15"/>
        <v>2617387.5</v>
      </c>
      <c r="K13" s="11">
        <f t="shared" si="21"/>
        <v>3432292.5</v>
      </c>
      <c r="L13" s="12">
        <v>45823</v>
      </c>
      <c r="M13" s="13">
        <f t="shared" ca="1" si="16"/>
        <v>46020</v>
      </c>
      <c r="N13" s="9">
        <f t="shared" ca="1" si="17"/>
        <v>197</v>
      </c>
      <c r="O13" s="11">
        <f t="shared" ca="1" si="18"/>
        <v>286458.52083333337</v>
      </c>
      <c r="P13" s="11">
        <f t="shared" ca="1" si="19"/>
        <v>2779208.5208333335</v>
      </c>
      <c r="Q13" s="85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2"/>
      <c r="B14" s="2"/>
      <c r="C14" s="2"/>
      <c r="D14" s="2"/>
      <c r="E14" s="2"/>
      <c r="F14" s="2">
        <f>SUM(F11:F13)</f>
        <v>110500</v>
      </c>
      <c r="G14" s="2"/>
      <c r="H14" s="2">
        <f t="shared" ref="H14:I14" si="22">SUM(H11:H13)</f>
        <v>3268850</v>
      </c>
      <c r="I14" s="6">
        <f t="shared" si="22"/>
        <v>163442.5</v>
      </c>
      <c r="J14" s="2"/>
      <c r="K14" s="2"/>
      <c r="L14" s="2"/>
      <c r="M14" s="2"/>
      <c r="N14" s="2"/>
      <c r="O14" s="6">
        <f t="shared" ref="O14:P14" ca="1" si="23">SUM(O11:O13)</f>
        <v>368401.74583333341</v>
      </c>
      <c r="P14" s="6">
        <f t="shared" ca="1" si="23"/>
        <v>3637251.7458333336</v>
      </c>
      <c r="Q14" s="10">
        <f ca="1">P14/F14</f>
        <v>32.916305392156865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97" t="s">
        <v>26</v>
      </c>
      <c r="B15" s="94"/>
      <c r="C15" s="2"/>
      <c r="D15" s="2"/>
      <c r="E15" s="2"/>
      <c r="F15" s="2"/>
      <c r="G15" s="3"/>
      <c r="H15" s="2"/>
      <c r="I15" s="2"/>
      <c r="J15" s="2"/>
      <c r="K15" s="2"/>
      <c r="L15" s="2"/>
      <c r="M15" s="5"/>
      <c r="N15" s="2"/>
      <c r="O15" s="6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8" t="s">
        <v>2</v>
      </c>
      <c r="B16" s="8" t="s">
        <v>3</v>
      </c>
      <c r="C16" s="8"/>
      <c r="D16" s="8" t="s">
        <v>21</v>
      </c>
      <c r="E16" s="8" t="s">
        <v>6</v>
      </c>
      <c r="F16" s="8" t="s">
        <v>7</v>
      </c>
      <c r="G16" s="8" t="s">
        <v>8</v>
      </c>
      <c r="H16" s="8" t="s">
        <v>9</v>
      </c>
      <c r="I16" s="8" t="s">
        <v>10</v>
      </c>
      <c r="J16" s="8"/>
      <c r="K16" s="8" t="s">
        <v>11</v>
      </c>
      <c r="L16" s="8" t="s">
        <v>12</v>
      </c>
      <c r="M16" s="8" t="s">
        <v>13</v>
      </c>
      <c r="N16" s="8" t="s">
        <v>14</v>
      </c>
      <c r="O16" s="8" t="s">
        <v>15</v>
      </c>
      <c r="P16" s="8" t="s">
        <v>16</v>
      </c>
      <c r="Q16" s="8" t="s">
        <v>17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9">
        <v>1</v>
      </c>
      <c r="B17" s="9" t="s">
        <v>27</v>
      </c>
      <c r="C17" s="9">
        <v>27</v>
      </c>
      <c r="D17" s="9">
        <f>C17</f>
        <v>27</v>
      </c>
      <c r="E17" s="9">
        <v>6500</v>
      </c>
      <c r="F17" s="9">
        <f t="shared" ref="F17:F26" si="24">C17*E17</f>
        <v>175500</v>
      </c>
      <c r="G17" s="10">
        <v>28.65</v>
      </c>
      <c r="H17" s="9">
        <f t="shared" ref="H17:H26" si="25">F17*G17</f>
        <v>5028075</v>
      </c>
      <c r="I17" s="11">
        <f t="shared" ref="I17:I26" si="26">H17*5%</f>
        <v>251403.75</v>
      </c>
      <c r="J17" s="11">
        <f t="shared" ref="J17:J26" si="27">H17+I17</f>
        <v>5279478.75</v>
      </c>
      <c r="K17" s="11">
        <f>J17</f>
        <v>5279478.75</v>
      </c>
      <c r="L17" s="12">
        <v>45920</v>
      </c>
      <c r="M17" s="13">
        <f t="shared" ref="M17:M26" ca="1" si="28">TODAY()</f>
        <v>46020</v>
      </c>
      <c r="N17" s="9">
        <f t="shared" ref="N17:N27" ca="1" si="29">M17-L17</f>
        <v>100</v>
      </c>
      <c r="O17" s="11">
        <f t="shared" ref="O17:O26" ca="1" si="30">H17*1.75%/30*N17</f>
        <v>293304.375</v>
      </c>
      <c r="P17" s="11">
        <f t="shared" ref="P17:P26" ca="1" si="31">H17+O17</f>
        <v>5321379.375</v>
      </c>
      <c r="Q17" s="83" t="s">
        <v>23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9">
        <v>2</v>
      </c>
      <c r="B18" s="9" t="s">
        <v>28</v>
      </c>
      <c r="C18" s="9">
        <v>11</v>
      </c>
      <c r="D18" s="9">
        <f t="shared" ref="D18:D26" si="32">C18+D17</f>
        <v>38</v>
      </c>
      <c r="E18" s="9">
        <v>6500</v>
      </c>
      <c r="F18" s="9">
        <f t="shared" si="24"/>
        <v>71500</v>
      </c>
      <c r="G18" s="10">
        <v>30.31</v>
      </c>
      <c r="H18" s="9">
        <f t="shared" si="25"/>
        <v>2167165</v>
      </c>
      <c r="I18" s="11">
        <f t="shared" si="26"/>
        <v>108358.25</v>
      </c>
      <c r="J18" s="11">
        <f t="shared" si="27"/>
        <v>2275523.25</v>
      </c>
      <c r="K18" s="11">
        <f t="shared" ref="K18:K26" si="33">K17+J18</f>
        <v>7555002</v>
      </c>
      <c r="L18" s="12">
        <v>45960</v>
      </c>
      <c r="M18" s="13">
        <f t="shared" ca="1" si="28"/>
        <v>46020</v>
      </c>
      <c r="N18" s="9">
        <f t="shared" ca="1" si="29"/>
        <v>60</v>
      </c>
      <c r="O18" s="11">
        <f t="shared" ca="1" si="30"/>
        <v>75850.775000000009</v>
      </c>
      <c r="P18" s="11">
        <f t="shared" ca="1" si="31"/>
        <v>2243015.7749999999</v>
      </c>
      <c r="Q18" s="84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9">
        <v>3</v>
      </c>
      <c r="B19" s="9" t="s">
        <v>28</v>
      </c>
      <c r="C19" s="9">
        <v>90</v>
      </c>
      <c r="D19" s="9">
        <f t="shared" si="32"/>
        <v>128</v>
      </c>
      <c r="E19" s="9">
        <v>6500</v>
      </c>
      <c r="F19" s="9">
        <f t="shared" si="24"/>
        <v>585000</v>
      </c>
      <c r="G19" s="10">
        <v>30.5</v>
      </c>
      <c r="H19" s="9">
        <f t="shared" si="25"/>
        <v>17842500</v>
      </c>
      <c r="I19" s="11">
        <f t="shared" si="26"/>
        <v>892125</v>
      </c>
      <c r="J19" s="11">
        <f t="shared" si="27"/>
        <v>18734625</v>
      </c>
      <c r="K19" s="11">
        <f t="shared" si="33"/>
        <v>26289627</v>
      </c>
      <c r="L19" s="12">
        <v>45981</v>
      </c>
      <c r="M19" s="13">
        <f t="shared" ca="1" si="28"/>
        <v>46020</v>
      </c>
      <c r="N19" s="9">
        <f t="shared" ca="1" si="29"/>
        <v>39</v>
      </c>
      <c r="O19" s="11">
        <f t="shared" ca="1" si="30"/>
        <v>405916.87500000006</v>
      </c>
      <c r="P19" s="11">
        <f t="shared" ca="1" si="31"/>
        <v>18248416.875</v>
      </c>
      <c r="Q19" s="84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9">
        <v>4</v>
      </c>
      <c r="B20" s="9" t="s">
        <v>28</v>
      </c>
      <c r="C20" s="9">
        <v>27</v>
      </c>
      <c r="D20" s="9">
        <f t="shared" si="32"/>
        <v>155</v>
      </c>
      <c r="E20" s="9">
        <v>6500</v>
      </c>
      <c r="F20" s="9">
        <f t="shared" si="24"/>
        <v>175500</v>
      </c>
      <c r="G20" s="10">
        <v>31</v>
      </c>
      <c r="H20" s="9">
        <f t="shared" si="25"/>
        <v>5440500</v>
      </c>
      <c r="I20" s="11">
        <f t="shared" si="26"/>
        <v>272025</v>
      </c>
      <c r="J20" s="11">
        <f t="shared" si="27"/>
        <v>5712525</v>
      </c>
      <c r="K20" s="11">
        <f t="shared" si="33"/>
        <v>32002152</v>
      </c>
      <c r="L20" s="12">
        <v>45985</v>
      </c>
      <c r="M20" s="13">
        <f t="shared" ca="1" si="28"/>
        <v>46020</v>
      </c>
      <c r="N20" s="9">
        <f t="shared" ca="1" si="29"/>
        <v>35</v>
      </c>
      <c r="O20" s="11">
        <f t="shared" ca="1" si="30"/>
        <v>111076.87500000001</v>
      </c>
      <c r="P20" s="11">
        <f t="shared" ca="1" si="31"/>
        <v>5551576.875</v>
      </c>
      <c r="Q20" s="84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9">
        <v>5</v>
      </c>
      <c r="B21" s="9" t="s">
        <v>28</v>
      </c>
      <c r="C21" s="9">
        <v>11</v>
      </c>
      <c r="D21" s="9">
        <f t="shared" si="32"/>
        <v>166</v>
      </c>
      <c r="E21" s="9">
        <v>6500</v>
      </c>
      <c r="F21" s="9">
        <f t="shared" si="24"/>
        <v>71500</v>
      </c>
      <c r="G21" s="9">
        <v>31.25</v>
      </c>
      <c r="H21" s="9">
        <f t="shared" si="25"/>
        <v>2234375</v>
      </c>
      <c r="I21" s="11">
        <f t="shared" si="26"/>
        <v>111718.75</v>
      </c>
      <c r="J21" s="11">
        <f t="shared" si="27"/>
        <v>2346093.75</v>
      </c>
      <c r="K21" s="11">
        <f t="shared" si="33"/>
        <v>34348245.75</v>
      </c>
      <c r="L21" s="12">
        <v>45971</v>
      </c>
      <c r="M21" s="13">
        <f t="shared" ca="1" si="28"/>
        <v>46020</v>
      </c>
      <c r="N21" s="9">
        <f t="shared" ca="1" si="29"/>
        <v>49</v>
      </c>
      <c r="O21" s="11">
        <f t="shared" ca="1" si="30"/>
        <v>63865.885416666679</v>
      </c>
      <c r="P21" s="11">
        <f t="shared" ca="1" si="31"/>
        <v>2298240.8854166665</v>
      </c>
      <c r="Q21" s="85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9">
        <v>6</v>
      </c>
      <c r="B22" s="9" t="s">
        <v>28</v>
      </c>
      <c r="C22" s="9">
        <v>27</v>
      </c>
      <c r="D22" s="9">
        <f t="shared" si="32"/>
        <v>193</v>
      </c>
      <c r="E22" s="9">
        <v>6500</v>
      </c>
      <c r="F22" s="9">
        <f t="shared" si="24"/>
        <v>175500</v>
      </c>
      <c r="G22" s="9">
        <v>31.75</v>
      </c>
      <c r="H22" s="9">
        <f t="shared" si="25"/>
        <v>5572125</v>
      </c>
      <c r="I22" s="11">
        <f t="shared" si="26"/>
        <v>278606.25</v>
      </c>
      <c r="J22" s="11">
        <f t="shared" si="27"/>
        <v>5850731.25</v>
      </c>
      <c r="K22" s="11">
        <f t="shared" si="33"/>
        <v>40198977</v>
      </c>
      <c r="L22" s="12">
        <v>45992</v>
      </c>
      <c r="M22" s="13">
        <f t="shared" ca="1" si="28"/>
        <v>46020</v>
      </c>
      <c r="N22" s="9">
        <f t="shared" ca="1" si="29"/>
        <v>28</v>
      </c>
      <c r="O22" s="11">
        <f t="shared" ca="1" si="30"/>
        <v>91011.375000000015</v>
      </c>
      <c r="P22" s="11">
        <f t="shared" ca="1" si="31"/>
        <v>5663136.375</v>
      </c>
      <c r="Q22" s="10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9">
        <v>7</v>
      </c>
      <c r="B23" s="16" t="s">
        <v>29</v>
      </c>
      <c r="C23" s="9">
        <v>24</v>
      </c>
      <c r="D23" s="9">
        <f t="shared" si="32"/>
        <v>217</v>
      </c>
      <c r="E23" s="9">
        <v>6500</v>
      </c>
      <c r="F23" s="9">
        <f t="shared" si="24"/>
        <v>156000</v>
      </c>
      <c r="G23" s="10">
        <v>31</v>
      </c>
      <c r="H23" s="9">
        <f t="shared" si="25"/>
        <v>4836000</v>
      </c>
      <c r="I23" s="11">
        <f t="shared" si="26"/>
        <v>241800</v>
      </c>
      <c r="J23" s="11">
        <f t="shared" si="27"/>
        <v>5077800</v>
      </c>
      <c r="K23" s="11">
        <f t="shared" si="33"/>
        <v>45276777</v>
      </c>
      <c r="L23" s="12">
        <v>45986</v>
      </c>
      <c r="M23" s="13">
        <f t="shared" ca="1" si="28"/>
        <v>46020</v>
      </c>
      <c r="N23" s="9">
        <f t="shared" ca="1" si="29"/>
        <v>34</v>
      </c>
      <c r="O23" s="11">
        <f t="shared" ca="1" si="30"/>
        <v>95914.000000000015</v>
      </c>
      <c r="P23" s="11">
        <f t="shared" ca="1" si="31"/>
        <v>4931914</v>
      </c>
      <c r="Q23" s="10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9">
        <v>8</v>
      </c>
      <c r="B24" s="9" t="s">
        <v>30</v>
      </c>
      <c r="C24" s="9">
        <v>15</v>
      </c>
      <c r="D24" s="9">
        <f t="shared" si="32"/>
        <v>232</v>
      </c>
      <c r="E24" s="9">
        <v>6500</v>
      </c>
      <c r="F24" s="9">
        <f t="shared" si="24"/>
        <v>97500</v>
      </c>
      <c r="G24" s="10">
        <v>31</v>
      </c>
      <c r="H24" s="9">
        <f t="shared" si="25"/>
        <v>3022500</v>
      </c>
      <c r="I24" s="11">
        <f t="shared" si="26"/>
        <v>151125</v>
      </c>
      <c r="J24" s="11">
        <f t="shared" si="27"/>
        <v>3173625</v>
      </c>
      <c r="K24" s="11">
        <f t="shared" si="33"/>
        <v>48450402</v>
      </c>
      <c r="L24" s="12">
        <v>45987</v>
      </c>
      <c r="M24" s="13">
        <f t="shared" ca="1" si="28"/>
        <v>46020</v>
      </c>
      <c r="N24" s="9">
        <f t="shared" ca="1" si="29"/>
        <v>33</v>
      </c>
      <c r="O24" s="11">
        <f t="shared" ca="1" si="30"/>
        <v>58183.125000000007</v>
      </c>
      <c r="P24" s="11">
        <f t="shared" ca="1" si="31"/>
        <v>3080683.125</v>
      </c>
      <c r="Q24" s="10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9">
        <v>9</v>
      </c>
      <c r="B25" s="9" t="s">
        <v>30</v>
      </c>
      <c r="C25" s="9">
        <v>27</v>
      </c>
      <c r="D25" s="9">
        <f t="shared" si="32"/>
        <v>259</v>
      </c>
      <c r="E25" s="9">
        <v>6500</v>
      </c>
      <c r="F25" s="9">
        <f t="shared" si="24"/>
        <v>175500</v>
      </c>
      <c r="G25" s="10">
        <v>31</v>
      </c>
      <c r="H25" s="9">
        <f t="shared" si="25"/>
        <v>5440500</v>
      </c>
      <c r="I25" s="11">
        <f t="shared" si="26"/>
        <v>272025</v>
      </c>
      <c r="J25" s="11">
        <f t="shared" si="27"/>
        <v>5712525</v>
      </c>
      <c r="K25" s="11">
        <f t="shared" si="33"/>
        <v>54162927</v>
      </c>
      <c r="L25" s="12">
        <v>45988</v>
      </c>
      <c r="M25" s="13">
        <f t="shared" ca="1" si="28"/>
        <v>46020</v>
      </c>
      <c r="N25" s="9">
        <f t="shared" ca="1" si="29"/>
        <v>32</v>
      </c>
      <c r="O25" s="11">
        <f t="shared" ca="1" si="30"/>
        <v>101556.00000000001</v>
      </c>
      <c r="P25" s="11">
        <f t="shared" ca="1" si="31"/>
        <v>5542056</v>
      </c>
      <c r="Q25" s="10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9">
        <v>10</v>
      </c>
      <c r="B26" s="9" t="s">
        <v>31</v>
      </c>
      <c r="C26" s="9">
        <v>27</v>
      </c>
      <c r="D26" s="9">
        <f t="shared" si="32"/>
        <v>286</v>
      </c>
      <c r="E26" s="9">
        <v>6500</v>
      </c>
      <c r="F26" s="9">
        <f t="shared" si="24"/>
        <v>175500</v>
      </c>
      <c r="G26" s="10">
        <v>30.75</v>
      </c>
      <c r="H26" s="9">
        <f t="shared" si="25"/>
        <v>5396625</v>
      </c>
      <c r="I26" s="11">
        <f t="shared" si="26"/>
        <v>269831.25</v>
      </c>
      <c r="J26" s="11">
        <f t="shared" si="27"/>
        <v>5666456.25</v>
      </c>
      <c r="K26" s="11">
        <f t="shared" si="33"/>
        <v>59829383.25</v>
      </c>
      <c r="L26" s="12">
        <v>45992</v>
      </c>
      <c r="M26" s="13">
        <f t="shared" ca="1" si="28"/>
        <v>46020</v>
      </c>
      <c r="N26" s="9">
        <f t="shared" ca="1" si="29"/>
        <v>28</v>
      </c>
      <c r="O26" s="11">
        <f t="shared" ca="1" si="30"/>
        <v>88144.875000000015</v>
      </c>
      <c r="P26" s="11">
        <f t="shared" ca="1" si="31"/>
        <v>5484769.875</v>
      </c>
      <c r="Q26" s="10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9"/>
      <c r="B27" s="9"/>
      <c r="C27" s="9"/>
      <c r="D27" s="9"/>
      <c r="E27" s="9"/>
      <c r="F27" s="9">
        <f>SUM(F17:F26)</f>
        <v>1859000</v>
      </c>
      <c r="G27" s="10"/>
      <c r="H27" s="9">
        <f>SUM(H17:H26)</f>
        <v>56980365</v>
      </c>
      <c r="I27" s="11"/>
      <c r="J27" s="11">
        <f>SUM(J17:J26)</f>
        <v>59829383.25</v>
      </c>
      <c r="K27" s="11">
        <f>K25+J26</f>
        <v>59829383.25</v>
      </c>
      <c r="L27" s="12"/>
      <c r="M27" s="13"/>
      <c r="N27" s="9">
        <f t="shared" si="29"/>
        <v>0</v>
      </c>
      <c r="O27" s="11">
        <f ca="1">H27*1.75%/30*N26</f>
        <v>930679.29499999993</v>
      </c>
      <c r="P27" s="11">
        <f ca="1">SUM(P17:P26)</f>
        <v>58365189.160416663</v>
      </c>
      <c r="Q27" s="10">
        <f ca="1">P27/F27</f>
        <v>31.396013534382281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2"/>
      <c r="B28" s="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95">
        <v>72.72</v>
      </c>
      <c r="B29" s="94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8" t="s">
        <v>2</v>
      </c>
      <c r="B30" s="8" t="s">
        <v>3</v>
      </c>
      <c r="C30" s="8"/>
      <c r="D30" s="8" t="s">
        <v>5</v>
      </c>
      <c r="E30" s="8" t="s">
        <v>6</v>
      </c>
      <c r="F30" s="8" t="s">
        <v>7</v>
      </c>
      <c r="G30" s="8" t="s">
        <v>8</v>
      </c>
      <c r="H30" s="8" t="s">
        <v>9</v>
      </c>
      <c r="I30" s="8" t="s">
        <v>10</v>
      </c>
      <c r="J30" s="8"/>
      <c r="K30" s="8" t="s">
        <v>11</v>
      </c>
      <c r="L30" s="8" t="s">
        <v>12</v>
      </c>
      <c r="M30" s="8" t="s">
        <v>13</v>
      </c>
      <c r="N30" s="8" t="s">
        <v>14</v>
      </c>
      <c r="O30" s="8" t="s">
        <v>15</v>
      </c>
      <c r="P30" s="8" t="s">
        <v>16</v>
      </c>
      <c r="Q30" s="8" t="s">
        <v>17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8">
        <v>1</v>
      </c>
      <c r="B31" s="8" t="s">
        <v>32</v>
      </c>
      <c r="C31" s="8">
        <v>23</v>
      </c>
      <c r="D31" s="8">
        <v>8</v>
      </c>
      <c r="E31" s="8">
        <v>7000</v>
      </c>
      <c r="F31" s="8">
        <f t="shared" ref="F31:F35" si="34">C31*E31</f>
        <v>161000</v>
      </c>
      <c r="G31" s="7">
        <v>30</v>
      </c>
      <c r="H31" s="8">
        <f t="shared" ref="H31:H35" si="35">F31*G31</f>
        <v>4830000</v>
      </c>
      <c r="I31" s="20">
        <f t="shared" ref="I31:I35" si="36">H31*5%</f>
        <v>241500</v>
      </c>
      <c r="J31" s="20">
        <f t="shared" ref="J31:J32" si="37">H31+I32</f>
        <v>5169062.5</v>
      </c>
      <c r="K31" s="20">
        <f>J31</f>
        <v>5169062.5</v>
      </c>
      <c r="L31" s="21">
        <v>45884</v>
      </c>
      <c r="M31" s="21">
        <f t="shared" ref="M31:M35" ca="1" si="38">TODAY()</f>
        <v>46020</v>
      </c>
      <c r="N31" s="8">
        <f t="shared" ref="N31:N35" ca="1" si="39">M31-L31</f>
        <v>136</v>
      </c>
      <c r="O31" s="20">
        <f t="shared" ref="O31:O32" ca="1" si="40">H31*1.75%/30*N31</f>
        <v>383180.00000000006</v>
      </c>
      <c r="P31" s="20">
        <f t="shared" ref="P31:P35" ca="1" si="41">H31+O31</f>
        <v>5213180</v>
      </c>
      <c r="Q31" s="86" t="s">
        <v>23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8">
        <v>2</v>
      </c>
      <c r="B32" s="8" t="s">
        <v>33</v>
      </c>
      <c r="C32" s="8">
        <v>31</v>
      </c>
      <c r="D32" s="8">
        <f t="shared" ref="D32:D35" si="42">C32+D31</f>
        <v>39</v>
      </c>
      <c r="E32" s="8">
        <v>7000</v>
      </c>
      <c r="F32" s="8">
        <f t="shared" si="34"/>
        <v>217000</v>
      </c>
      <c r="G32" s="7">
        <v>31.25</v>
      </c>
      <c r="H32" s="8">
        <f t="shared" si="35"/>
        <v>6781250</v>
      </c>
      <c r="I32" s="20">
        <f t="shared" si="36"/>
        <v>339062.5</v>
      </c>
      <c r="J32" s="20">
        <f t="shared" si="37"/>
        <v>8133029</v>
      </c>
      <c r="K32" s="20">
        <f t="shared" ref="K32:K35" si="43">J32+K31</f>
        <v>13302091.5</v>
      </c>
      <c r="L32" s="21">
        <v>45962</v>
      </c>
      <c r="M32" s="21">
        <f t="shared" ca="1" si="38"/>
        <v>46020</v>
      </c>
      <c r="N32" s="8">
        <f t="shared" ca="1" si="39"/>
        <v>58</v>
      </c>
      <c r="O32" s="20">
        <f t="shared" ca="1" si="40"/>
        <v>229432.29166666669</v>
      </c>
      <c r="P32" s="20">
        <f t="shared" ca="1" si="41"/>
        <v>7010682.291666667</v>
      </c>
      <c r="Q32" s="84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8">
        <v>3</v>
      </c>
      <c r="B33" s="8" t="s">
        <v>18</v>
      </c>
      <c r="C33" s="8">
        <v>132</v>
      </c>
      <c r="D33" s="8">
        <f t="shared" si="42"/>
        <v>171</v>
      </c>
      <c r="E33" s="8">
        <v>6500</v>
      </c>
      <c r="F33" s="8">
        <f t="shared" si="34"/>
        <v>858000</v>
      </c>
      <c r="G33" s="7">
        <v>31.51</v>
      </c>
      <c r="H33" s="8">
        <f t="shared" si="35"/>
        <v>27035580</v>
      </c>
      <c r="I33" s="20">
        <f t="shared" si="36"/>
        <v>1351779</v>
      </c>
      <c r="J33" s="22">
        <f>H33+I36</f>
        <v>29650909</v>
      </c>
      <c r="K33" s="20">
        <f t="shared" si="43"/>
        <v>42953000.5</v>
      </c>
      <c r="L33" s="21">
        <v>45992</v>
      </c>
      <c r="M33" s="21">
        <f t="shared" ca="1" si="38"/>
        <v>46020</v>
      </c>
      <c r="N33" s="8">
        <f t="shared" ca="1" si="39"/>
        <v>28</v>
      </c>
      <c r="O33" s="20">
        <f t="shared" ref="O33:O35" ca="1" si="44">H33*1.5%/30*N33</f>
        <v>378498.12</v>
      </c>
      <c r="P33" s="20">
        <f t="shared" ca="1" si="41"/>
        <v>27414078.120000001</v>
      </c>
      <c r="Q33" s="84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8">
        <v>4</v>
      </c>
      <c r="B34" s="8" t="s">
        <v>34</v>
      </c>
      <c r="C34" s="8">
        <v>44</v>
      </c>
      <c r="D34" s="8">
        <f t="shared" si="42"/>
        <v>215</v>
      </c>
      <c r="E34" s="8">
        <v>6500</v>
      </c>
      <c r="F34" s="8">
        <f t="shared" si="34"/>
        <v>286000</v>
      </c>
      <c r="G34" s="7">
        <v>31</v>
      </c>
      <c r="H34" s="8">
        <f t="shared" si="35"/>
        <v>8866000</v>
      </c>
      <c r="I34" s="20">
        <f t="shared" si="36"/>
        <v>443300</v>
      </c>
      <c r="J34" s="22">
        <f>H34+I39</f>
        <v>8866000</v>
      </c>
      <c r="K34" s="20">
        <f t="shared" si="43"/>
        <v>51819000.5</v>
      </c>
      <c r="L34" s="21">
        <v>45965</v>
      </c>
      <c r="M34" s="21">
        <f t="shared" ca="1" si="38"/>
        <v>46020</v>
      </c>
      <c r="N34" s="8">
        <f t="shared" ca="1" si="39"/>
        <v>55</v>
      </c>
      <c r="O34" s="20">
        <f t="shared" ca="1" si="44"/>
        <v>243815</v>
      </c>
      <c r="P34" s="20">
        <f t="shared" ca="1" si="41"/>
        <v>9109815</v>
      </c>
      <c r="Q34" s="84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8">
        <v>5</v>
      </c>
      <c r="B35" s="8" t="s">
        <v>34</v>
      </c>
      <c r="C35" s="8">
        <v>25</v>
      </c>
      <c r="D35" s="8">
        <f t="shared" si="42"/>
        <v>240</v>
      </c>
      <c r="E35" s="8">
        <v>6500</v>
      </c>
      <c r="F35" s="8">
        <f t="shared" si="34"/>
        <v>162500</v>
      </c>
      <c r="G35" s="7">
        <v>29.5</v>
      </c>
      <c r="H35" s="8">
        <f t="shared" si="35"/>
        <v>4793750</v>
      </c>
      <c r="I35" s="20">
        <f t="shared" si="36"/>
        <v>239687.5</v>
      </c>
      <c r="J35" s="22">
        <f>H35+I48</f>
        <v>4793750</v>
      </c>
      <c r="K35" s="20">
        <f t="shared" si="43"/>
        <v>56612750.5</v>
      </c>
      <c r="L35" s="21">
        <v>45915</v>
      </c>
      <c r="M35" s="21">
        <f t="shared" ca="1" si="38"/>
        <v>46020</v>
      </c>
      <c r="N35" s="8">
        <f t="shared" ca="1" si="39"/>
        <v>105</v>
      </c>
      <c r="O35" s="20">
        <f t="shared" ca="1" si="44"/>
        <v>251671.875</v>
      </c>
      <c r="P35" s="20">
        <f t="shared" ca="1" si="41"/>
        <v>5045421.875</v>
      </c>
      <c r="Q35" s="85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8"/>
      <c r="B36" s="8"/>
      <c r="C36" s="8"/>
      <c r="D36" s="8"/>
      <c r="E36" s="8"/>
      <c r="F36" s="8">
        <f>SUM(F31:F35)</f>
        <v>1684500</v>
      </c>
      <c r="G36" s="8"/>
      <c r="H36" s="8">
        <f t="shared" ref="H36:I36" si="45">SUM(H31:H35)</f>
        <v>52306580</v>
      </c>
      <c r="I36" s="23">
        <f t="shared" si="45"/>
        <v>2615329</v>
      </c>
      <c r="J36" s="24"/>
      <c r="K36" s="20"/>
      <c r="L36" s="24"/>
      <c r="M36" s="21"/>
      <c r="N36" s="8"/>
      <c r="O36" s="20"/>
      <c r="P36" s="20">
        <f ca="1">SUM(P31:P35)</f>
        <v>53793177.286666669</v>
      </c>
      <c r="Q36" s="7">
        <f ca="1">P36/F36</f>
        <v>31.934210321559316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95" t="s">
        <v>35</v>
      </c>
      <c r="B37" s="94"/>
      <c r="C37" s="8"/>
      <c r="D37" s="8"/>
      <c r="E37" s="8"/>
      <c r="F37" s="8"/>
      <c r="G37" s="8"/>
      <c r="H37" s="8"/>
      <c r="I37" s="24"/>
      <c r="J37" s="24"/>
      <c r="K37" s="22"/>
      <c r="L37" s="24"/>
      <c r="M37" s="21"/>
      <c r="N37" s="8"/>
      <c r="O37" s="20"/>
      <c r="P37" s="8"/>
      <c r="Q37" s="7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25"/>
      <c r="B38" s="25" t="s">
        <v>34</v>
      </c>
      <c r="C38" s="25">
        <v>6</v>
      </c>
      <c r="D38" s="25" t="e">
        <f>C38+#REF!</f>
        <v>#REF!</v>
      </c>
      <c r="E38" s="25">
        <v>6500</v>
      </c>
      <c r="F38" s="25">
        <f>C38*E38</f>
        <v>39000</v>
      </c>
      <c r="G38" s="26">
        <v>32</v>
      </c>
      <c r="H38" s="25">
        <f>F38*G38</f>
        <v>1248000</v>
      </c>
      <c r="I38" s="27">
        <f>H38*5%</f>
        <v>62400</v>
      </c>
      <c r="J38" s="28">
        <f>H38+I40</f>
        <v>1248000</v>
      </c>
      <c r="K38" s="27" t="e">
        <f>J38+#REF!</f>
        <v>#REF!</v>
      </c>
      <c r="L38" s="28">
        <v>45638</v>
      </c>
      <c r="M38" s="29">
        <f ca="1">TODAY()</f>
        <v>46020</v>
      </c>
      <c r="N38" s="25">
        <f ca="1">M38-L38</f>
        <v>382</v>
      </c>
      <c r="O38" s="27">
        <f ca="1">H38*1.75%/30*N38</f>
        <v>278096.00000000006</v>
      </c>
      <c r="P38" s="27">
        <f ca="1">H38+O38</f>
        <v>1526096</v>
      </c>
      <c r="Q38" s="26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25"/>
      <c r="B39" s="25"/>
      <c r="C39" s="25"/>
      <c r="D39" s="25"/>
      <c r="E39" s="25"/>
      <c r="F39" s="25" t="e">
        <f>SUM(#REF!)</f>
        <v>#REF!</v>
      </c>
      <c r="G39" s="25"/>
      <c r="H39" s="25"/>
      <c r="I39" s="25"/>
      <c r="J39" s="25"/>
      <c r="K39" s="25"/>
      <c r="L39" s="25"/>
      <c r="M39" s="29"/>
      <c r="N39" s="25"/>
      <c r="O39" s="27"/>
      <c r="P39" s="25" t="e">
        <f>SUM(#REF!)</f>
        <v>#REF!</v>
      </c>
      <c r="Q39" s="26" t="e">
        <f>P39/F39</f>
        <v>#REF!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95" t="s">
        <v>36</v>
      </c>
      <c r="B40" s="94"/>
      <c r="C40" s="30"/>
      <c r="D40" s="30"/>
      <c r="E40" s="30"/>
      <c r="F40" s="31"/>
      <c r="G40" s="30"/>
      <c r="H40" s="30"/>
      <c r="I40" s="32"/>
      <c r="J40" s="32"/>
      <c r="K40" s="32"/>
      <c r="L40" s="32"/>
      <c r="M40" s="33"/>
      <c r="N40" s="30"/>
      <c r="O40" s="34"/>
      <c r="P40" s="31"/>
      <c r="Q40" s="3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35">
        <v>1</v>
      </c>
      <c r="B41" s="35" t="s">
        <v>28</v>
      </c>
      <c r="C41" s="35">
        <v>15</v>
      </c>
      <c r="D41" s="35">
        <f>C41+D46</f>
        <v>15</v>
      </c>
      <c r="E41" s="35">
        <v>6500</v>
      </c>
      <c r="F41" s="35">
        <f t="shared" ref="F41:F46" si="46">C41*E41</f>
        <v>97500</v>
      </c>
      <c r="G41" s="36">
        <v>33.75</v>
      </c>
      <c r="H41" s="35">
        <f t="shared" ref="H41:H46" si="47">F41*G41</f>
        <v>3290625</v>
      </c>
      <c r="I41" s="37">
        <f t="shared" ref="I41:I46" si="48">H41*5%</f>
        <v>164531.25</v>
      </c>
      <c r="J41" s="37">
        <f t="shared" ref="J41:J42" si="49">H41+I42</f>
        <v>3514143.75</v>
      </c>
      <c r="K41" s="37">
        <f>J41+K46</f>
        <v>3678675</v>
      </c>
      <c r="L41" s="38">
        <v>45978</v>
      </c>
      <c r="M41" s="39">
        <f t="shared" ref="M41:M46" ca="1" si="50">TODAY()</f>
        <v>46020</v>
      </c>
      <c r="N41" s="35">
        <f t="shared" ref="N41:N46" ca="1" si="51">M41-L41</f>
        <v>42</v>
      </c>
      <c r="O41" s="37">
        <f t="shared" ref="O41:O46" ca="1" si="52">H41*1.75%/30*N41</f>
        <v>80620.312500000015</v>
      </c>
      <c r="P41" s="37">
        <f t="shared" ref="P41:P46" ca="1" si="53">H41+O41</f>
        <v>3371245.3125</v>
      </c>
      <c r="Q41" s="87">
        <v>1.7500000000000002E-2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35">
        <v>3</v>
      </c>
      <c r="B42" s="35" t="s">
        <v>33</v>
      </c>
      <c r="C42" s="35">
        <v>21</v>
      </c>
      <c r="D42" s="35">
        <f t="shared" ref="D42:D45" si="54">C42+D41</f>
        <v>36</v>
      </c>
      <c r="E42" s="35">
        <v>6500</v>
      </c>
      <c r="F42" s="35">
        <f t="shared" si="46"/>
        <v>136500</v>
      </c>
      <c r="G42" s="36">
        <v>32.75</v>
      </c>
      <c r="H42" s="35">
        <f t="shared" si="47"/>
        <v>4470375</v>
      </c>
      <c r="I42" s="37">
        <f t="shared" si="48"/>
        <v>223518.75</v>
      </c>
      <c r="J42" s="37">
        <f t="shared" si="49"/>
        <v>4709900</v>
      </c>
      <c r="K42" s="37">
        <f t="shared" ref="K42:K43" si="55">J42+K41</f>
        <v>8388575</v>
      </c>
      <c r="L42" s="38">
        <v>45870</v>
      </c>
      <c r="M42" s="39">
        <f t="shared" ca="1" si="50"/>
        <v>46020</v>
      </c>
      <c r="N42" s="35">
        <f t="shared" ca="1" si="51"/>
        <v>150</v>
      </c>
      <c r="O42" s="37">
        <f t="shared" ca="1" si="52"/>
        <v>391157.81250000006</v>
      </c>
      <c r="P42" s="37">
        <f t="shared" ca="1" si="53"/>
        <v>4861532.8125</v>
      </c>
      <c r="Q42" s="84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35">
        <v>4</v>
      </c>
      <c r="B43" s="35" t="s">
        <v>33</v>
      </c>
      <c r="C43" s="35">
        <v>22</v>
      </c>
      <c r="D43" s="35">
        <f t="shared" si="54"/>
        <v>58</v>
      </c>
      <c r="E43" s="35">
        <v>6500</v>
      </c>
      <c r="F43" s="35">
        <f t="shared" si="46"/>
        <v>143000</v>
      </c>
      <c r="G43" s="36">
        <v>33.5</v>
      </c>
      <c r="H43" s="35">
        <f t="shared" si="47"/>
        <v>4790500</v>
      </c>
      <c r="I43" s="37">
        <f t="shared" si="48"/>
        <v>239525</v>
      </c>
      <c r="J43" s="35" t="e">
        <f>H43+#REF!</f>
        <v>#REF!</v>
      </c>
      <c r="K43" s="37" t="e">
        <f t="shared" si="55"/>
        <v>#REF!</v>
      </c>
      <c r="L43" s="38">
        <v>45941</v>
      </c>
      <c r="M43" s="39">
        <f t="shared" ca="1" si="50"/>
        <v>46020</v>
      </c>
      <c r="N43" s="35">
        <f t="shared" ca="1" si="51"/>
        <v>79</v>
      </c>
      <c r="O43" s="37">
        <f t="shared" ca="1" si="52"/>
        <v>220762.20833333337</v>
      </c>
      <c r="P43" s="37">
        <f t="shared" ca="1" si="53"/>
        <v>5011262.208333333</v>
      </c>
      <c r="Q43" s="84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35">
        <v>6</v>
      </c>
      <c r="B44" s="35" t="s">
        <v>37</v>
      </c>
      <c r="C44" s="35">
        <v>11</v>
      </c>
      <c r="D44" s="35">
        <f t="shared" si="54"/>
        <v>69</v>
      </c>
      <c r="E44" s="35">
        <v>6500</v>
      </c>
      <c r="F44" s="35">
        <f t="shared" si="46"/>
        <v>71500</v>
      </c>
      <c r="G44" s="36">
        <v>31.25</v>
      </c>
      <c r="H44" s="35">
        <f t="shared" si="47"/>
        <v>2234375</v>
      </c>
      <c r="I44" s="37">
        <f t="shared" si="48"/>
        <v>111718.75</v>
      </c>
      <c r="J44" s="37">
        <f>H44+I45</f>
        <v>2822300</v>
      </c>
      <c r="K44" s="37" t="e">
        <f>J44+#REF!</f>
        <v>#REF!</v>
      </c>
      <c r="L44" s="38">
        <v>45875</v>
      </c>
      <c r="M44" s="39">
        <f t="shared" ca="1" si="50"/>
        <v>46020</v>
      </c>
      <c r="N44" s="35">
        <f t="shared" ca="1" si="51"/>
        <v>145</v>
      </c>
      <c r="O44" s="37">
        <f t="shared" ca="1" si="52"/>
        <v>188990.88541666672</v>
      </c>
      <c r="P44" s="37">
        <f t="shared" ca="1" si="53"/>
        <v>2423365.8854166665</v>
      </c>
      <c r="Q44" s="84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35">
        <v>7</v>
      </c>
      <c r="B45" s="35" t="s">
        <v>38</v>
      </c>
      <c r="C45" s="35">
        <v>54</v>
      </c>
      <c r="D45" s="35">
        <f t="shared" si="54"/>
        <v>123</v>
      </c>
      <c r="E45" s="35">
        <v>6500</v>
      </c>
      <c r="F45" s="35">
        <f t="shared" si="46"/>
        <v>351000</v>
      </c>
      <c r="G45" s="36">
        <v>33.5</v>
      </c>
      <c r="H45" s="35">
        <f t="shared" si="47"/>
        <v>11758500</v>
      </c>
      <c r="I45" s="37">
        <f t="shared" si="48"/>
        <v>587925</v>
      </c>
      <c r="J45" s="35" t="e">
        <f>H45+#REF!</f>
        <v>#REF!</v>
      </c>
      <c r="K45" s="37" t="e">
        <f>J45+K44</f>
        <v>#REF!</v>
      </c>
      <c r="L45" s="38">
        <v>45972</v>
      </c>
      <c r="M45" s="39">
        <f t="shared" ca="1" si="50"/>
        <v>46020</v>
      </c>
      <c r="N45" s="35">
        <f t="shared" ca="1" si="51"/>
        <v>48</v>
      </c>
      <c r="O45" s="37">
        <f t="shared" ca="1" si="52"/>
        <v>329238.00000000006</v>
      </c>
      <c r="P45" s="37">
        <f t="shared" ca="1" si="53"/>
        <v>12087738</v>
      </c>
      <c r="Q45" s="84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35">
        <v>1</v>
      </c>
      <c r="B46" s="35"/>
      <c r="C46" s="35"/>
      <c r="D46" s="35">
        <f>C46</f>
        <v>0</v>
      </c>
      <c r="E46" s="35">
        <v>6500</v>
      </c>
      <c r="F46" s="35">
        <f t="shared" si="46"/>
        <v>0</v>
      </c>
      <c r="G46" s="36">
        <v>34.25</v>
      </c>
      <c r="H46" s="35">
        <f t="shared" si="47"/>
        <v>0</v>
      </c>
      <c r="I46" s="37">
        <f t="shared" si="48"/>
        <v>0</v>
      </c>
      <c r="J46" s="37">
        <f>H46+I41</f>
        <v>164531.25</v>
      </c>
      <c r="K46" s="37">
        <f>J46</f>
        <v>164531.25</v>
      </c>
      <c r="L46" s="38">
        <v>45843</v>
      </c>
      <c r="M46" s="39">
        <f t="shared" ca="1" si="50"/>
        <v>46020</v>
      </c>
      <c r="N46" s="35">
        <f t="shared" ca="1" si="51"/>
        <v>177</v>
      </c>
      <c r="O46" s="37">
        <f t="shared" ca="1" si="52"/>
        <v>0</v>
      </c>
      <c r="P46" s="37">
        <f t="shared" ca="1" si="53"/>
        <v>0</v>
      </c>
      <c r="Q46" s="85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40"/>
      <c r="B47" s="40"/>
      <c r="C47" s="35"/>
      <c r="D47" s="35"/>
      <c r="E47" s="35"/>
      <c r="F47" s="35">
        <f>SUM(F41:F46)</f>
        <v>799500</v>
      </c>
      <c r="G47" s="36"/>
      <c r="H47" s="35"/>
      <c r="I47" s="35"/>
      <c r="J47" s="35"/>
      <c r="K47" s="35"/>
      <c r="L47" s="35"/>
      <c r="M47" s="39"/>
      <c r="N47" s="35"/>
      <c r="O47" s="37"/>
      <c r="P47" s="37">
        <f ca="1">SUM(P41:P46)</f>
        <v>27755144.21875</v>
      </c>
      <c r="Q47" s="36">
        <f ca="1">P47/F47</f>
        <v>34.715627540650409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95" t="s">
        <v>39</v>
      </c>
      <c r="B48" s="94"/>
      <c r="C48" s="30"/>
      <c r="D48" s="30"/>
      <c r="E48" s="30"/>
      <c r="F48" s="31"/>
      <c r="G48" s="30"/>
      <c r="H48" s="30"/>
      <c r="I48" s="32"/>
      <c r="J48" s="32"/>
      <c r="K48" s="32"/>
      <c r="L48" s="32"/>
      <c r="M48" s="33"/>
      <c r="N48" s="30"/>
      <c r="O48" s="34"/>
      <c r="P48" s="31"/>
      <c r="Q48" s="3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41">
        <v>1</v>
      </c>
      <c r="B49" s="42" t="s">
        <v>40</v>
      </c>
      <c r="C49" s="41">
        <v>34</v>
      </c>
      <c r="D49" s="41">
        <f>C49+D48</f>
        <v>34</v>
      </c>
      <c r="E49" s="41">
        <v>10000</v>
      </c>
      <c r="F49" s="41">
        <f t="shared" ref="F49:F50" si="56">C49*E49</f>
        <v>340000</v>
      </c>
      <c r="G49" s="43">
        <v>13</v>
      </c>
      <c r="H49" s="41">
        <f t="shared" ref="H49:H50" si="57">F49*G49</f>
        <v>4420000</v>
      </c>
      <c r="I49" s="44">
        <f t="shared" ref="I49:I50" si="58">H49*5%</f>
        <v>221000</v>
      </c>
      <c r="J49" s="44">
        <f t="shared" ref="J49:J50" si="59">H49+I49</f>
        <v>4641000</v>
      </c>
      <c r="K49" s="44">
        <f t="shared" ref="K49:K50" si="60">J49</f>
        <v>4641000</v>
      </c>
      <c r="L49" s="45">
        <v>45906</v>
      </c>
      <c r="M49" s="46">
        <f t="shared" ref="M49:M50" ca="1" si="61">TODAY()</f>
        <v>46020</v>
      </c>
      <c r="N49" s="41">
        <f t="shared" ref="N49:N50" ca="1" si="62">M49-L49</f>
        <v>114</v>
      </c>
      <c r="O49" s="44">
        <f t="shared" ref="O49:O50" ca="1" si="63">H49*1.75%/30*N49</f>
        <v>293930.00000000006</v>
      </c>
      <c r="P49" s="44">
        <f t="shared" ref="P49:P50" ca="1" si="64">H49+O49</f>
        <v>4713930</v>
      </c>
      <c r="Q49" s="41">
        <v>2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41">
        <v>2</v>
      </c>
      <c r="B50" s="41" t="s">
        <v>41</v>
      </c>
      <c r="C50" s="41">
        <v>6</v>
      </c>
      <c r="D50" s="41">
        <f>C50+D47</f>
        <v>6</v>
      </c>
      <c r="E50" s="41">
        <v>10000</v>
      </c>
      <c r="F50" s="41">
        <f t="shared" si="56"/>
        <v>60000</v>
      </c>
      <c r="G50" s="43">
        <v>13</v>
      </c>
      <c r="H50" s="41">
        <f t="shared" si="57"/>
        <v>780000</v>
      </c>
      <c r="I50" s="44">
        <f t="shared" si="58"/>
        <v>39000</v>
      </c>
      <c r="J50" s="44">
        <f t="shared" si="59"/>
        <v>819000</v>
      </c>
      <c r="K50" s="44">
        <f t="shared" si="60"/>
        <v>819000</v>
      </c>
      <c r="L50" s="45">
        <v>45906</v>
      </c>
      <c r="M50" s="46">
        <f t="shared" ca="1" si="61"/>
        <v>46020</v>
      </c>
      <c r="N50" s="41">
        <f t="shared" ca="1" si="62"/>
        <v>114</v>
      </c>
      <c r="O50" s="44">
        <f t="shared" ca="1" si="63"/>
        <v>51870.000000000007</v>
      </c>
      <c r="P50" s="44">
        <f t="shared" ca="1" si="64"/>
        <v>831870</v>
      </c>
      <c r="Q50" s="41">
        <v>3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41"/>
      <c r="B51" s="41"/>
      <c r="C51" s="41"/>
      <c r="D51" s="41"/>
      <c r="E51" s="41"/>
      <c r="F51" s="44">
        <f ca="1">SUM(F49+P50)</f>
        <v>1171870</v>
      </c>
      <c r="G51" s="41"/>
      <c r="H51" s="41"/>
      <c r="I51" s="41"/>
      <c r="J51" s="41"/>
      <c r="K51" s="41"/>
      <c r="L51" s="41"/>
      <c r="M51" s="46"/>
      <c r="N51" s="41"/>
      <c r="O51" s="44"/>
      <c r="P51" s="44">
        <f ca="1">SUM(P49+P50)</f>
        <v>5545800</v>
      </c>
      <c r="Q51" s="4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01" t="s">
        <v>42</v>
      </c>
      <c r="B52" s="94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9"/>
      <c r="N52" s="48"/>
      <c r="O52" s="50"/>
      <c r="P52" s="48"/>
      <c r="Q52" s="47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8">
        <v>1</v>
      </c>
      <c r="B53" s="8" t="s">
        <v>43</v>
      </c>
      <c r="C53" s="8">
        <v>9</v>
      </c>
      <c r="D53" s="8">
        <f>C53</f>
        <v>9</v>
      </c>
      <c r="E53" s="8">
        <v>10000</v>
      </c>
      <c r="F53" s="8">
        <f t="shared" ref="F53:F55" si="65">C53*E53</f>
        <v>90000</v>
      </c>
      <c r="G53" s="7">
        <v>18.25</v>
      </c>
      <c r="H53" s="8">
        <f t="shared" ref="H53:H55" si="66">F53*G53</f>
        <v>1642500</v>
      </c>
      <c r="I53" s="20">
        <f t="shared" ref="I53:I55" si="67">H53*5%</f>
        <v>82125</v>
      </c>
      <c r="J53" s="20">
        <f t="shared" ref="J53:J55" si="68">H53+I53</f>
        <v>1724625</v>
      </c>
      <c r="K53" s="20">
        <f>J53</f>
        <v>1724625</v>
      </c>
      <c r="L53" s="24">
        <v>45910</v>
      </c>
      <c r="M53" s="21">
        <f t="shared" ref="M53:M55" ca="1" si="69">TODAY()</f>
        <v>46020</v>
      </c>
      <c r="N53" s="8">
        <f t="shared" ref="N53:N55" ca="1" si="70">M53-L53</f>
        <v>110</v>
      </c>
      <c r="O53" s="20">
        <f t="shared" ref="O53:O55" ca="1" si="71">H53*1.75%/30*N53</f>
        <v>105393.75000000001</v>
      </c>
      <c r="P53" s="20">
        <f t="shared" ref="P53:P55" ca="1" si="72">H53+O53</f>
        <v>1747893.75</v>
      </c>
      <c r="Q53" s="88">
        <v>1.7500000000000002E-2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8">
        <v>2</v>
      </c>
      <c r="B54" s="8" t="s">
        <v>44</v>
      </c>
      <c r="C54" s="8">
        <v>16</v>
      </c>
      <c r="D54" s="8">
        <f t="shared" ref="D54:D55" si="73">C54+D53</f>
        <v>25</v>
      </c>
      <c r="E54" s="8">
        <v>10000</v>
      </c>
      <c r="F54" s="8">
        <f t="shared" si="65"/>
        <v>160000</v>
      </c>
      <c r="G54" s="7">
        <v>18</v>
      </c>
      <c r="H54" s="8">
        <f t="shared" si="66"/>
        <v>2880000</v>
      </c>
      <c r="I54" s="20">
        <f t="shared" si="67"/>
        <v>144000</v>
      </c>
      <c r="J54" s="20">
        <f t="shared" si="68"/>
        <v>3024000</v>
      </c>
      <c r="K54" s="20">
        <f t="shared" ref="K54:K55" si="74">J54+K53</f>
        <v>4748625</v>
      </c>
      <c r="L54" s="24">
        <v>45943</v>
      </c>
      <c r="M54" s="21">
        <f t="shared" ca="1" si="69"/>
        <v>46020</v>
      </c>
      <c r="N54" s="8">
        <f t="shared" ca="1" si="70"/>
        <v>77</v>
      </c>
      <c r="O54" s="20">
        <f t="shared" ca="1" si="71"/>
        <v>129360.00000000001</v>
      </c>
      <c r="P54" s="20">
        <f t="shared" ca="1" si="72"/>
        <v>3009360</v>
      </c>
      <c r="Q54" s="85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8">
        <v>3</v>
      </c>
      <c r="B55" s="8" t="s">
        <v>40</v>
      </c>
      <c r="C55" s="8">
        <v>36</v>
      </c>
      <c r="D55" s="8">
        <f t="shared" si="73"/>
        <v>61</v>
      </c>
      <c r="E55" s="8">
        <v>10000</v>
      </c>
      <c r="F55" s="8">
        <f t="shared" si="65"/>
        <v>360000</v>
      </c>
      <c r="G55" s="8">
        <v>17.75</v>
      </c>
      <c r="H55" s="8">
        <f t="shared" si="66"/>
        <v>6390000</v>
      </c>
      <c r="I55" s="20">
        <f t="shared" si="67"/>
        <v>319500</v>
      </c>
      <c r="J55" s="20">
        <f t="shared" si="68"/>
        <v>6709500</v>
      </c>
      <c r="K55" s="20">
        <f t="shared" si="74"/>
        <v>11458125</v>
      </c>
      <c r="L55" s="24">
        <v>45944</v>
      </c>
      <c r="M55" s="21">
        <f t="shared" ca="1" si="69"/>
        <v>46020</v>
      </c>
      <c r="N55" s="8">
        <f t="shared" ca="1" si="70"/>
        <v>76</v>
      </c>
      <c r="O55" s="20">
        <f t="shared" ca="1" si="71"/>
        <v>283290.00000000006</v>
      </c>
      <c r="P55" s="20">
        <f t="shared" ca="1" si="72"/>
        <v>6673290</v>
      </c>
      <c r="Q55" s="7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8"/>
      <c r="B56" s="8"/>
      <c r="C56" s="8"/>
      <c r="D56" s="8"/>
      <c r="E56" s="8"/>
      <c r="F56" s="8">
        <f>SUM(F53:F54)</f>
        <v>250000</v>
      </c>
      <c r="G56" s="8"/>
      <c r="H56" s="8">
        <f>SUM(H53:H54)</f>
        <v>4522500</v>
      </c>
      <c r="I56" s="8"/>
      <c r="J56" s="8"/>
      <c r="K56" s="8"/>
      <c r="L56" s="24"/>
      <c r="M56" s="21"/>
      <c r="N56" s="8"/>
      <c r="O56" s="20"/>
      <c r="P56" s="20">
        <f ca="1">SUM(P53:P54)</f>
        <v>4757253.75</v>
      </c>
      <c r="Q56" s="7">
        <f t="shared" ref="Q56:Q57" ca="1" si="75">P56/F56</f>
        <v>19.029015000000001</v>
      </c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9"/>
      <c r="B57" s="9"/>
      <c r="C57" s="9"/>
      <c r="D57" s="9"/>
      <c r="E57" s="9"/>
      <c r="F57" s="9">
        <f>SUM(F53:F56)</f>
        <v>860000</v>
      </c>
      <c r="G57" s="9"/>
      <c r="H57" s="9"/>
      <c r="I57" s="9"/>
      <c r="J57" s="9"/>
      <c r="K57" s="11"/>
      <c r="L57" s="9"/>
      <c r="M57" s="13"/>
      <c r="N57" s="9"/>
      <c r="O57" s="11"/>
      <c r="P57" s="11">
        <f ca="1">SUM(P52:P56)</f>
        <v>16187797.5</v>
      </c>
      <c r="Q57" s="10">
        <f t="shared" ca="1" si="75"/>
        <v>18.823020348837208</v>
      </c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02" t="s">
        <v>45</v>
      </c>
      <c r="B58" s="94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6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8">
        <v>1</v>
      </c>
      <c r="B59" s="8" t="s">
        <v>32</v>
      </c>
      <c r="C59" s="8">
        <v>15</v>
      </c>
      <c r="D59" s="8">
        <f>C59</f>
        <v>15</v>
      </c>
      <c r="E59" s="8">
        <v>7100</v>
      </c>
      <c r="F59" s="8">
        <f t="shared" ref="F59:F67" si="76">C59*E59</f>
        <v>106500</v>
      </c>
      <c r="G59" s="7">
        <v>23.5</v>
      </c>
      <c r="H59" s="8">
        <f t="shared" ref="H59:H67" si="77">F59*G59</f>
        <v>2502750</v>
      </c>
      <c r="I59" s="20">
        <f t="shared" ref="I59:I67" si="78">H59*5%</f>
        <v>125137.5</v>
      </c>
      <c r="J59" s="20">
        <f t="shared" ref="J59:J64" si="79">H59+I59</f>
        <v>2627887.5</v>
      </c>
      <c r="K59" s="20">
        <f t="shared" ref="K59:K67" si="80">J59</f>
        <v>2627887.5</v>
      </c>
      <c r="L59" s="24">
        <v>45994</v>
      </c>
      <c r="M59" s="21">
        <f t="shared" ref="M59:M67" ca="1" si="81">TODAY()</f>
        <v>46020</v>
      </c>
      <c r="N59" s="8">
        <f t="shared" ref="N59:N67" ca="1" si="82">M59-L59</f>
        <v>26</v>
      </c>
      <c r="O59" s="20">
        <f t="shared" ref="O59:O67" ca="1" si="83">H59*1.25%/30*N59</f>
        <v>27113.125</v>
      </c>
      <c r="P59" s="20">
        <f t="shared" ref="P59:P67" ca="1" si="84">H59+O59</f>
        <v>2529863.125</v>
      </c>
      <c r="Q59" s="89">
        <v>1.2500000000000001E-2</v>
      </c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8">
        <v>2</v>
      </c>
      <c r="B60" s="8" t="s">
        <v>46</v>
      </c>
      <c r="C60" s="8">
        <v>23</v>
      </c>
      <c r="D60" s="8">
        <f t="shared" ref="D60:D63" si="85">C60+D59</f>
        <v>38</v>
      </c>
      <c r="E60" s="8">
        <v>7000</v>
      </c>
      <c r="F60" s="8">
        <f t="shared" si="76"/>
        <v>161000</v>
      </c>
      <c r="G60" s="7">
        <v>24.15</v>
      </c>
      <c r="H60" s="8">
        <f t="shared" si="77"/>
        <v>3888150</v>
      </c>
      <c r="I60" s="20">
        <f t="shared" si="78"/>
        <v>194407.5</v>
      </c>
      <c r="J60" s="20">
        <f t="shared" si="79"/>
        <v>4082557.5</v>
      </c>
      <c r="K60" s="20">
        <f t="shared" si="80"/>
        <v>4082557.5</v>
      </c>
      <c r="L60" s="24">
        <v>45991</v>
      </c>
      <c r="M60" s="21">
        <f t="shared" ca="1" si="81"/>
        <v>46020</v>
      </c>
      <c r="N60" s="8">
        <f t="shared" ca="1" si="82"/>
        <v>29</v>
      </c>
      <c r="O60" s="20">
        <f t="shared" ca="1" si="83"/>
        <v>46981.8125</v>
      </c>
      <c r="P60" s="20">
        <f t="shared" ca="1" si="84"/>
        <v>3935131.8125</v>
      </c>
      <c r="Q60" s="84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8">
        <v>3</v>
      </c>
      <c r="B61" s="8" t="s">
        <v>30</v>
      </c>
      <c r="C61" s="8">
        <v>22</v>
      </c>
      <c r="D61" s="8">
        <f t="shared" si="85"/>
        <v>60</v>
      </c>
      <c r="E61" s="8">
        <v>7000</v>
      </c>
      <c r="F61" s="8">
        <f t="shared" si="76"/>
        <v>154000</v>
      </c>
      <c r="G61" s="7">
        <v>24.51</v>
      </c>
      <c r="H61" s="8">
        <f t="shared" si="77"/>
        <v>3774540.0000000005</v>
      </c>
      <c r="I61" s="20">
        <f t="shared" si="78"/>
        <v>188727.00000000003</v>
      </c>
      <c r="J61" s="20">
        <f t="shared" si="79"/>
        <v>3963267.0000000005</v>
      </c>
      <c r="K61" s="20">
        <f t="shared" si="80"/>
        <v>3963267.0000000005</v>
      </c>
      <c r="L61" s="24">
        <v>45965</v>
      </c>
      <c r="M61" s="21">
        <f t="shared" ca="1" si="81"/>
        <v>46020</v>
      </c>
      <c r="N61" s="8">
        <f t="shared" ca="1" si="82"/>
        <v>55</v>
      </c>
      <c r="O61" s="20">
        <f t="shared" ca="1" si="83"/>
        <v>86499.875000000015</v>
      </c>
      <c r="P61" s="20">
        <f t="shared" ca="1" si="84"/>
        <v>3861039.8750000005</v>
      </c>
      <c r="Q61" s="84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8">
        <v>4</v>
      </c>
      <c r="B62" s="8" t="s">
        <v>30</v>
      </c>
      <c r="C62" s="8">
        <v>11</v>
      </c>
      <c r="D62" s="8">
        <f t="shared" si="85"/>
        <v>71</v>
      </c>
      <c r="E62" s="8">
        <v>7000</v>
      </c>
      <c r="F62" s="8">
        <f t="shared" si="76"/>
        <v>77000</v>
      </c>
      <c r="G62" s="7">
        <v>24.25</v>
      </c>
      <c r="H62" s="8">
        <f t="shared" si="77"/>
        <v>1867250</v>
      </c>
      <c r="I62" s="20">
        <f t="shared" si="78"/>
        <v>93362.5</v>
      </c>
      <c r="J62" s="20">
        <f t="shared" si="79"/>
        <v>1960612.5</v>
      </c>
      <c r="K62" s="20">
        <f t="shared" si="80"/>
        <v>1960612.5</v>
      </c>
      <c r="L62" s="24">
        <v>45960</v>
      </c>
      <c r="M62" s="21">
        <f t="shared" ca="1" si="81"/>
        <v>46020</v>
      </c>
      <c r="N62" s="8">
        <f t="shared" ca="1" si="82"/>
        <v>60</v>
      </c>
      <c r="O62" s="20">
        <f t="shared" ca="1" si="83"/>
        <v>46681.25</v>
      </c>
      <c r="P62" s="20">
        <f t="shared" ca="1" si="84"/>
        <v>1913931.25</v>
      </c>
      <c r="Q62" s="84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8">
        <v>5</v>
      </c>
      <c r="B63" s="8" t="s">
        <v>30</v>
      </c>
      <c r="C63" s="8">
        <v>17</v>
      </c>
      <c r="D63" s="8">
        <f t="shared" si="85"/>
        <v>88</v>
      </c>
      <c r="E63" s="8">
        <v>7000</v>
      </c>
      <c r="F63" s="8">
        <f t="shared" si="76"/>
        <v>119000</v>
      </c>
      <c r="G63" s="7">
        <v>23.5</v>
      </c>
      <c r="H63" s="8">
        <f t="shared" si="77"/>
        <v>2796500</v>
      </c>
      <c r="I63" s="20">
        <f t="shared" si="78"/>
        <v>139825</v>
      </c>
      <c r="J63" s="20">
        <f t="shared" si="79"/>
        <v>2936325</v>
      </c>
      <c r="K63" s="20">
        <f t="shared" si="80"/>
        <v>2936325</v>
      </c>
      <c r="L63" s="24">
        <v>45901</v>
      </c>
      <c r="M63" s="21">
        <f t="shared" ca="1" si="81"/>
        <v>46020</v>
      </c>
      <c r="N63" s="8">
        <f t="shared" ca="1" si="82"/>
        <v>119</v>
      </c>
      <c r="O63" s="20">
        <f t="shared" ca="1" si="83"/>
        <v>138659.79166666666</v>
      </c>
      <c r="P63" s="20">
        <f t="shared" ca="1" si="84"/>
        <v>2935159.7916666665</v>
      </c>
      <c r="Q63" s="84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8">
        <v>6</v>
      </c>
      <c r="B64" s="8" t="s">
        <v>32</v>
      </c>
      <c r="C64" s="8">
        <v>12</v>
      </c>
      <c r="D64" s="8">
        <f>C64+D60</f>
        <v>50</v>
      </c>
      <c r="E64" s="8">
        <v>7100</v>
      </c>
      <c r="F64" s="8">
        <f t="shared" si="76"/>
        <v>85200</v>
      </c>
      <c r="G64" s="7">
        <v>23.5</v>
      </c>
      <c r="H64" s="8">
        <f t="shared" si="77"/>
        <v>2002200</v>
      </c>
      <c r="I64" s="20">
        <f t="shared" si="78"/>
        <v>100110</v>
      </c>
      <c r="J64" s="20">
        <f t="shared" si="79"/>
        <v>2102310</v>
      </c>
      <c r="K64" s="20">
        <f t="shared" si="80"/>
        <v>2102310</v>
      </c>
      <c r="L64" s="24">
        <v>45959</v>
      </c>
      <c r="M64" s="21">
        <f t="shared" ca="1" si="81"/>
        <v>46020</v>
      </c>
      <c r="N64" s="8">
        <f t="shared" ca="1" si="82"/>
        <v>61</v>
      </c>
      <c r="O64" s="20">
        <f t="shared" ca="1" si="83"/>
        <v>50889.25</v>
      </c>
      <c r="P64" s="20">
        <f t="shared" ca="1" si="84"/>
        <v>2053089.25</v>
      </c>
      <c r="Q64" s="84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8">
        <v>7</v>
      </c>
      <c r="B65" s="8" t="s">
        <v>32</v>
      </c>
      <c r="C65" s="8">
        <v>26</v>
      </c>
      <c r="D65" s="8">
        <f t="shared" ref="D65:D67" si="86">C65+D64</f>
        <v>76</v>
      </c>
      <c r="E65" s="8">
        <v>7100</v>
      </c>
      <c r="F65" s="8">
        <f t="shared" si="76"/>
        <v>184600</v>
      </c>
      <c r="G65" s="7">
        <v>23.5</v>
      </c>
      <c r="H65" s="8">
        <f t="shared" si="77"/>
        <v>4338100</v>
      </c>
      <c r="I65" s="20">
        <f t="shared" si="78"/>
        <v>216905</v>
      </c>
      <c r="J65" s="20">
        <f t="shared" ref="J65:J67" si="87">I65*5%</f>
        <v>10845.25</v>
      </c>
      <c r="K65" s="20">
        <f t="shared" si="80"/>
        <v>10845.25</v>
      </c>
      <c r="L65" s="24">
        <v>45940</v>
      </c>
      <c r="M65" s="21">
        <f t="shared" ca="1" si="81"/>
        <v>46020</v>
      </c>
      <c r="N65" s="8">
        <f t="shared" ca="1" si="82"/>
        <v>80</v>
      </c>
      <c r="O65" s="20">
        <f t="shared" ca="1" si="83"/>
        <v>144603.33333333334</v>
      </c>
      <c r="P65" s="20">
        <f t="shared" ca="1" si="84"/>
        <v>4482703.333333333</v>
      </c>
      <c r="Q65" s="85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8">
        <v>8</v>
      </c>
      <c r="B66" s="8" t="s">
        <v>47</v>
      </c>
      <c r="C66" s="8">
        <v>24</v>
      </c>
      <c r="D66" s="8">
        <f t="shared" si="86"/>
        <v>100</v>
      </c>
      <c r="E66" s="8">
        <v>6500</v>
      </c>
      <c r="F66" s="8">
        <f t="shared" si="76"/>
        <v>156000</v>
      </c>
      <c r="G66" s="8">
        <v>23.75</v>
      </c>
      <c r="H66" s="8">
        <f t="shared" si="77"/>
        <v>3705000</v>
      </c>
      <c r="I66" s="20">
        <f t="shared" si="78"/>
        <v>185250</v>
      </c>
      <c r="J66" s="20">
        <f t="shared" si="87"/>
        <v>9262.5</v>
      </c>
      <c r="K66" s="20">
        <f t="shared" si="80"/>
        <v>9262.5</v>
      </c>
      <c r="L66" s="24">
        <v>45965</v>
      </c>
      <c r="M66" s="21">
        <f t="shared" ca="1" si="81"/>
        <v>46020</v>
      </c>
      <c r="N66" s="8">
        <f t="shared" ca="1" si="82"/>
        <v>55</v>
      </c>
      <c r="O66" s="20">
        <f t="shared" ca="1" si="83"/>
        <v>84906.25</v>
      </c>
      <c r="P66" s="20">
        <f t="shared" ca="1" si="84"/>
        <v>3789906.25</v>
      </c>
      <c r="Q66" s="7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8">
        <v>9</v>
      </c>
      <c r="B67" s="8" t="s">
        <v>18</v>
      </c>
      <c r="C67" s="8">
        <v>3</v>
      </c>
      <c r="D67" s="8">
        <f t="shared" si="86"/>
        <v>103</v>
      </c>
      <c r="E67" s="8">
        <v>6500</v>
      </c>
      <c r="F67" s="8">
        <f t="shared" si="76"/>
        <v>19500</v>
      </c>
      <c r="G67" s="8">
        <v>23.75</v>
      </c>
      <c r="H67" s="8">
        <f t="shared" si="77"/>
        <v>463125</v>
      </c>
      <c r="I67" s="20">
        <f t="shared" si="78"/>
        <v>23156.25</v>
      </c>
      <c r="J67" s="20">
        <f t="shared" si="87"/>
        <v>1157.8125</v>
      </c>
      <c r="K67" s="20">
        <f t="shared" si="80"/>
        <v>1157.8125</v>
      </c>
      <c r="L67" s="24">
        <v>45966</v>
      </c>
      <c r="M67" s="21">
        <f t="shared" ca="1" si="81"/>
        <v>46020</v>
      </c>
      <c r="N67" s="8">
        <f t="shared" ca="1" si="82"/>
        <v>54</v>
      </c>
      <c r="O67" s="20">
        <f t="shared" ca="1" si="83"/>
        <v>10420.3125</v>
      </c>
      <c r="P67" s="20">
        <f t="shared" ca="1" si="84"/>
        <v>473545.3125</v>
      </c>
      <c r="Q67" s="7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8"/>
      <c r="B68" s="8"/>
      <c r="C68" s="8"/>
      <c r="D68" s="8"/>
      <c r="E68" s="8"/>
      <c r="F68" s="8">
        <f>SUM(F59:F67)</f>
        <v>1062800</v>
      </c>
      <c r="G68" s="8"/>
      <c r="H68" s="8">
        <f>SUM(H59:H67)</f>
        <v>25337615</v>
      </c>
      <c r="I68" s="20"/>
      <c r="J68" s="8"/>
      <c r="K68" s="8"/>
      <c r="L68" s="8"/>
      <c r="M68" s="21"/>
      <c r="N68" s="8"/>
      <c r="O68" s="20"/>
      <c r="P68" s="20">
        <f ca="1">SUM(P59:P67)</f>
        <v>25974369.999999996</v>
      </c>
      <c r="Q68" s="7">
        <f ca="1">P68/F68</f>
        <v>24.439565299209633</v>
      </c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02" t="s">
        <v>48</v>
      </c>
      <c r="B69" s="94"/>
      <c r="C69" s="2"/>
      <c r="D69" s="2"/>
      <c r="E69" s="2"/>
      <c r="F69" s="2"/>
      <c r="G69" s="2"/>
      <c r="H69" s="2"/>
      <c r="I69" s="2"/>
      <c r="J69" s="2"/>
      <c r="K69" s="2"/>
      <c r="L69" s="2"/>
      <c r="M69" s="5"/>
      <c r="N69" s="2"/>
      <c r="O69" s="6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8">
        <v>1</v>
      </c>
      <c r="B70" s="8" t="s">
        <v>25</v>
      </c>
      <c r="C70" s="8">
        <v>11</v>
      </c>
      <c r="D70" s="8">
        <f>C70</f>
        <v>11</v>
      </c>
      <c r="E70" s="8">
        <v>6000</v>
      </c>
      <c r="F70" s="8">
        <f>C70*E70</f>
        <v>66000</v>
      </c>
      <c r="G70" s="7">
        <v>20.5</v>
      </c>
      <c r="H70" s="8">
        <f>F70*G70</f>
        <v>1353000</v>
      </c>
      <c r="I70" s="20">
        <f>H70*5%</f>
        <v>67650</v>
      </c>
      <c r="J70" s="20">
        <f>H70+I70</f>
        <v>1420650</v>
      </c>
      <c r="K70" s="20">
        <f>J70</f>
        <v>1420650</v>
      </c>
      <c r="L70" s="24">
        <v>45906</v>
      </c>
      <c r="M70" s="21">
        <f ca="1">TODAY()</f>
        <v>46020</v>
      </c>
      <c r="N70" s="8">
        <f ca="1">M70-L70</f>
        <v>114</v>
      </c>
      <c r="O70" s="20">
        <f ca="1">H70*1.25%/30*N70</f>
        <v>64267.5</v>
      </c>
      <c r="P70" s="20">
        <f ca="1">H70+O70</f>
        <v>1417267.5</v>
      </c>
      <c r="Q70" s="51">
        <v>1.2500000000000001E-2</v>
      </c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8"/>
      <c r="B71" s="8"/>
      <c r="C71" s="8"/>
      <c r="D71" s="8"/>
      <c r="E71" s="8"/>
      <c r="F71" s="8">
        <f>SUM(F70)</f>
        <v>66000</v>
      </c>
      <c r="G71" s="8"/>
      <c r="H71" s="8">
        <f>SUM(H70)</f>
        <v>1353000</v>
      </c>
      <c r="I71" s="8"/>
      <c r="J71" s="8"/>
      <c r="K71" s="8"/>
      <c r="L71" s="8"/>
      <c r="M71" s="21"/>
      <c r="N71" s="8"/>
      <c r="O71" s="20"/>
      <c r="P71" s="20">
        <f ca="1">SUM(P70)</f>
        <v>1417267.5</v>
      </c>
      <c r="Q71" s="7">
        <f ca="1">P71/F71</f>
        <v>21.473749999999999</v>
      </c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97" t="s">
        <v>49</v>
      </c>
      <c r="B72" s="94"/>
      <c r="C72" s="2"/>
      <c r="D72" s="2"/>
      <c r="E72" s="2"/>
      <c r="F72" s="2"/>
      <c r="G72" s="2"/>
      <c r="H72" s="2"/>
      <c r="I72" s="2"/>
      <c r="J72" s="2"/>
      <c r="K72" s="2"/>
      <c r="L72" s="2"/>
      <c r="M72" s="5"/>
      <c r="N72" s="2"/>
      <c r="O72" s="6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52">
        <v>1</v>
      </c>
      <c r="B73" s="52" t="s">
        <v>50</v>
      </c>
      <c r="C73" s="52"/>
      <c r="D73" s="52">
        <f>C73</f>
        <v>0</v>
      </c>
      <c r="E73" s="52">
        <v>5000</v>
      </c>
      <c r="F73" s="52">
        <f>C73*E73</f>
        <v>0</v>
      </c>
      <c r="G73" s="53">
        <v>16.25</v>
      </c>
      <c r="H73" s="52">
        <f>F73*G73</f>
        <v>0</v>
      </c>
      <c r="I73" s="54">
        <f>H73*5%</f>
        <v>0</v>
      </c>
      <c r="J73" s="54">
        <f>H73+I73</f>
        <v>0</v>
      </c>
      <c r="K73" s="54">
        <f>J73</f>
        <v>0</v>
      </c>
      <c r="L73" s="55">
        <v>45304</v>
      </c>
      <c r="M73" s="56">
        <f ca="1">TODAY()</f>
        <v>46020</v>
      </c>
      <c r="N73" s="52">
        <f ca="1">M73-L73</f>
        <v>716</v>
      </c>
      <c r="O73" s="54">
        <f ca="1">H73*1.25%/30*N73</f>
        <v>0</v>
      </c>
      <c r="P73" s="54">
        <f ca="1">H73+O73</f>
        <v>0</v>
      </c>
      <c r="Q73" s="53" t="e">
        <f ca="1">P73/F73</f>
        <v>#DIV/0!</v>
      </c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98">
        <v>80.099999999999994</v>
      </c>
      <c r="B74" s="94"/>
      <c r="C74" s="57"/>
      <c r="D74" s="57"/>
      <c r="E74" s="57"/>
      <c r="F74" s="57"/>
      <c r="G74" s="3"/>
      <c r="H74" s="57"/>
      <c r="I74" s="2"/>
      <c r="J74" s="2"/>
      <c r="K74" s="2"/>
      <c r="L74" s="2"/>
      <c r="M74" s="5"/>
      <c r="N74" s="2"/>
      <c r="O74" s="6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58">
        <v>1</v>
      </c>
      <c r="B75" s="58" t="s">
        <v>25</v>
      </c>
      <c r="C75" s="58"/>
      <c r="D75" s="58">
        <f t="shared" ref="D75:D77" si="88">C75</f>
        <v>0</v>
      </c>
      <c r="E75" s="58">
        <v>5500</v>
      </c>
      <c r="F75" s="58">
        <f t="shared" ref="F75:F77" si="89">C75*E75</f>
        <v>0</v>
      </c>
      <c r="G75" s="59">
        <v>25</v>
      </c>
      <c r="H75" s="58">
        <f t="shared" ref="H75:H77" si="90">F75*G75</f>
        <v>0</v>
      </c>
      <c r="I75" s="60">
        <f t="shared" ref="I75:I77" si="91">H75*5%</f>
        <v>0</v>
      </c>
      <c r="J75" s="60">
        <f t="shared" ref="J75:J78" si="92">H75+I76</f>
        <v>109125</v>
      </c>
      <c r="K75" s="60">
        <f>J75</f>
        <v>109125</v>
      </c>
      <c r="L75" s="61">
        <v>45839</v>
      </c>
      <c r="M75" s="62">
        <f t="shared" ref="M75:M77" ca="1" si="93">TODAY()</f>
        <v>46020</v>
      </c>
      <c r="N75" s="58">
        <f t="shared" ref="N75:N77" ca="1" si="94">M75-L75</f>
        <v>181</v>
      </c>
      <c r="O75" s="60">
        <f t="shared" ref="O75:O77" ca="1" si="95">H75*1.25%/30*N75</f>
        <v>0</v>
      </c>
      <c r="P75" s="60">
        <f t="shared" ref="P75:P77" ca="1" si="96">H75+O75</f>
        <v>0</v>
      </c>
      <c r="Q75" s="59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58">
        <v>2</v>
      </c>
      <c r="B76" s="58" t="s">
        <v>51</v>
      </c>
      <c r="C76" s="58">
        <v>15</v>
      </c>
      <c r="D76" s="58">
        <f t="shared" si="88"/>
        <v>15</v>
      </c>
      <c r="E76" s="58">
        <v>6000</v>
      </c>
      <c r="F76" s="58">
        <f t="shared" si="89"/>
        <v>90000</v>
      </c>
      <c r="G76" s="59">
        <v>24.25</v>
      </c>
      <c r="H76" s="58">
        <f t="shared" si="90"/>
        <v>2182500</v>
      </c>
      <c r="I76" s="60">
        <f t="shared" si="91"/>
        <v>109125</v>
      </c>
      <c r="J76" s="60">
        <f t="shared" si="92"/>
        <v>2182500</v>
      </c>
      <c r="K76" s="60">
        <f t="shared" ref="K76:K77" si="97">J76+K75</f>
        <v>2291625</v>
      </c>
      <c r="L76" s="61">
        <v>45848</v>
      </c>
      <c r="M76" s="62">
        <f t="shared" ca="1" si="93"/>
        <v>46020</v>
      </c>
      <c r="N76" s="58">
        <f t="shared" ca="1" si="94"/>
        <v>172</v>
      </c>
      <c r="O76" s="60">
        <f t="shared" ca="1" si="95"/>
        <v>156412.5</v>
      </c>
      <c r="P76" s="60">
        <f t="shared" ca="1" si="96"/>
        <v>2338912.5</v>
      </c>
      <c r="Q76" s="58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58">
        <v>3</v>
      </c>
      <c r="B77" s="58" t="s">
        <v>30</v>
      </c>
      <c r="C77" s="58"/>
      <c r="D77" s="58">
        <f t="shared" si="88"/>
        <v>0</v>
      </c>
      <c r="E77" s="58">
        <v>6500</v>
      </c>
      <c r="F77" s="58">
        <f t="shared" si="89"/>
        <v>0</v>
      </c>
      <c r="G77" s="59">
        <v>22.75</v>
      </c>
      <c r="H77" s="58">
        <f t="shared" si="90"/>
        <v>0</v>
      </c>
      <c r="I77" s="60">
        <f t="shared" si="91"/>
        <v>0</v>
      </c>
      <c r="J77" s="58">
        <f t="shared" si="92"/>
        <v>0</v>
      </c>
      <c r="K77" s="60">
        <f t="shared" si="97"/>
        <v>2291625</v>
      </c>
      <c r="L77" s="61">
        <v>45849</v>
      </c>
      <c r="M77" s="62">
        <f t="shared" ca="1" si="93"/>
        <v>46020</v>
      </c>
      <c r="N77" s="58">
        <f t="shared" ca="1" si="94"/>
        <v>171</v>
      </c>
      <c r="O77" s="60">
        <f t="shared" ca="1" si="95"/>
        <v>0</v>
      </c>
      <c r="P77" s="60">
        <f t="shared" ca="1" si="96"/>
        <v>0</v>
      </c>
      <c r="Q77" s="59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99"/>
      <c r="B78" s="94"/>
      <c r="C78" s="58"/>
      <c r="D78" s="58"/>
      <c r="E78" s="58"/>
      <c r="F78" s="58">
        <f>SUM(F75:F77)</f>
        <v>90000</v>
      </c>
      <c r="G78" s="59"/>
      <c r="H78" s="58"/>
      <c r="I78" s="58"/>
      <c r="J78" s="58">
        <f t="shared" si="92"/>
        <v>0</v>
      </c>
      <c r="K78" s="58"/>
      <c r="L78" s="61"/>
      <c r="M78" s="62"/>
      <c r="N78" s="58"/>
      <c r="O78" s="60"/>
      <c r="P78" s="60">
        <f ca="1">SUM(P75:P77)</f>
        <v>2338912.5</v>
      </c>
      <c r="Q78" s="59">
        <f ca="1">P78/F78</f>
        <v>25.987916666666667</v>
      </c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97" t="s">
        <v>52</v>
      </c>
      <c r="B79" s="94"/>
      <c r="C79" s="2"/>
      <c r="D79" s="2"/>
      <c r="E79" s="2"/>
      <c r="F79" s="2"/>
      <c r="G79" s="3"/>
      <c r="H79" s="2"/>
      <c r="I79" s="2"/>
      <c r="J79" s="2"/>
      <c r="K79" s="2"/>
      <c r="L79" s="2"/>
      <c r="M79" s="5"/>
      <c r="N79" s="2"/>
      <c r="O79" s="6"/>
      <c r="P79" s="2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63">
        <v>1</v>
      </c>
      <c r="B80" s="64"/>
      <c r="C80" s="63"/>
      <c r="D80" s="63">
        <f>C80</f>
        <v>0</v>
      </c>
      <c r="E80" s="63">
        <v>6500</v>
      </c>
      <c r="F80" s="63">
        <f>C80*E80</f>
        <v>0</v>
      </c>
      <c r="G80" s="65"/>
      <c r="H80" s="63">
        <f>F80*G80</f>
        <v>0</v>
      </c>
      <c r="I80" s="66">
        <f t="shared" ref="I80:J80" si="98">H80*5%</f>
        <v>0</v>
      </c>
      <c r="J80" s="66">
        <f t="shared" si="98"/>
        <v>0</v>
      </c>
      <c r="K80" s="66">
        <f>J80</f>
        <v>0</v>
      </c>
      <c r="L80" s="67"/>
      <c r="M80" s="68">
        <f ca="1">TODAY()</f>
        <v>46020</v>
      </c>
      <c r="N80" s="63">
        <f ca="1">M80-L80</f>
        <v>46020</v>
      </c>
      <c r="O80" s="66">
        <f ca="1">H80*1.25%/30*N80</f>
        <v>0</v>
      </c>
      <c r="P80" s="66">
        <f ca="1">H80+O80</f>
        <v>0</v>
      </c>
      <c r="Q80" s="63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97" t="s">
        <v>53</v>
      </c>
      <c r="B81" s="94"/>
      <c r="C81" s="2"/>
      <c r="D81" s="2"/>
      <c r="E81" s="2"/>
      <c r="F81" s="2"/>
      <c r="G81" s="3"/>
      <c r="H81" s="2"/>
      <c r="I81" s="2"/>
      <c r="J81" s="2"/>
      <c r="K81" s="2"/>
      <c r="L81" s="2"/>
      <c r="M81" s="5"/>
      <c r="N81" s="2"/>
      <c r="O81" s="6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69">
        <v>1</v>
      </c>
      <c r="B82" s="69" t="s">
        <v>40</v>
      </c>
      <c r="C82" s="69">
        <v>2</v>
      </c>
      <c r="D82" s="69">
        <f>C82</f>
        <v>2</v>
      </c>
      <c r="E82" s="69">
        <v>7500</v>
      </c>
      <c r="F82" s="69">
        <f t="shared" ref="F82:F83" si="99">C82*E82</f>
        <v>15000</v>
      </c>
      <c r="G82" s="70">
        <v>20.25</v>
      </c>
      <c r="H82" s="69">
        <f t="shared" ref="H82:H83" si="100">F82*G82</f>
        <v>303750</v>
      </c>
      <c r="I82" s="71">
        <f>H82*5%</f>
        <v>15187.5</v>
      </c>
      <c r="J82" s="72">
        <f>H82+I83</f>
        <v>303750</v>
      </c>
      <c r="K82" s="71">
        <f>J82</f>
        <v>303750</v>
      </c>
      <c r="L82" s="73">
        <v>45632</v>
      </c>
      <c r="M82" s="74">
        <f t="shared" ref="M82:M83" ca="1" si="101">TODAY()</f>
        <v>46020</v>
      </c>
      <c r="N82" s="69">
        <f ca="1">M82-L82</f>
        <v>388</v>
      </c>
      <c r="O82" s="71">
        <f t="shared" ref="O82:O83" ca="1" si="102">H82*1.25%/30*N82</f>
        <v>49106.25</v>
      </c>
      <c r="P82" s="71">
        <f t="shared" ref="P82:P83" ca="1" si="103">H82+O82</f>
        <v>352856.25</v>
      </c>
      <c r="Q82" s="90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69">
        <v>2</v>
      </c>
      <c r="B83" s="69"/>
      <c r="C83" s="69"/>
      <c r="D83" s="69">
        <f>D82+C83</f>
        <v>2</v>
      </c>
      <c r="E83" s="69">
        <v>7500</v>
      </c>
      <c r="F83" s="69">
        <f t="shared" si="99"/>
        <v>0</v>
      </c>
      <c r="G83" s="70"/>
      <c r="H83" s="69">
        <f t="shared" si="100"/>
        <v>0</v>
      </c>
      <c r="I83" s="73"/>
      <c r="J83" s="73"/>
      <c r="K83" s="73"/>
      <c r="L83" s="73"/>
      <c r="M83" s="74">
        <f t="shared" ca="1" si="101"/>
        <v>46020</v>
      </c>
      <c r="N83" s="69"/>
      <c r="O83" s="71">
        <f t="shared" si="102"/>
        <v>0</v>
      </c>
      <c r="P83" s="71">
        <f t="shared" si="103"/>
        <v>0</v>
      </c>
      <c r="Q83" s="85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69"/>
      <c r="B84" s="69"/>
      <c r="C84" s="69"/>
      <c r="D84" s="69"/>
      <c r="E84" s="69"/>
      <c r="F84" s="69">
        <f>SUM(F82:F83)</f>
        <v>15000</v>
      </c>
      <c r="G84" s="69"/>
      <c r="H84" s="69">
        <f>SUM(H82:H83)</f>
        <v>303750</v>
      </c>
      <c r="I84" s="69"/>
      <c r="J84" s="69"/>
      <c r="K84" s="69"/>
      <c r="L84" s="69"/>
      <c r="M84" s="69"/>
      <c r="N84" s="69"/>
      <c r="O84" s="71"/>
      <c r="P84" s="71">
        <f ca="1">SUM(P82:P83)</f>
        <v>352856.25</v>
      </c>
      <c r="Q84" s="70">
        <f ca="1">P84/F84</f>
        <v>23.52375</v>
      </c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97" t="s">
        <v>54</v>
      </c>
      <c r="B85" s="94"/>
      <c r="C85" s="2"/>
      <c r="D85" s="2"/>
      <c r="E85" s="2"/>
      <c r="F85" s="2"/>
      <c r="G85" s="3"/>
      <c r="H85" s="2"/>
      <c r="I85" s="2"/>
      <c r="J85" s="2"/>
      <c r="K85" s="2"/>
      <c r="L85" s="2"/>
      <c r="M85" s="5"/>
      <c r="N85" s="2"/>
      <c r="O85" s="6"/>
      <c r="P85" s="2"/>
      <c r="Q85" s="75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8">
        <v>1</v>
      </c>
      <c r="B86" s="8" t="s">
        <v>55</v>
      </c>
      <c r="C86" s="8">
        <v>27</v>
      </c>
      <c r="D86" s="8">
        <f>C86</f>
        <v>27</v>
      </c>
      <c r="E86" s="8">
        <v>7500</v>
      </c>
      <c r="F86" s="8">
        <f t="shared" ref="F86:F87" si="104">C86*E86</f>
        <v>202500</v>
      </c>
      <c r="G86" s="7">
        <v>29.5</v>
      </c>
      <c r="H86" s="8">
        <f t="shared" ref="H86:H87" si="105">F86*G86</f>
        <v>5973750</v>
      </c>
      <c r="I86" s="20">
        <f t="shared" ref="I86:I88" si="106">H86*5%</f>
        <v>298687.5</v>
      </c>
      <c r="J86" s="20">
        <f t="shared" ref="J86:J87" si="107">H86+I86</f>
        <v>6272437.5</v>
      </c>
      <c r="K86" s="20">
        <f>J86</f>
        <v>6272437.5</v>
      </c>
      <c r="L86" s="76">
        <v>45899</v>
      </c>
      <c r="M86" s="21">
        <f t="shared" ref="M86:M87" ca="1" si="108">TODAY()</f>
        <v>46020</v>
      </c>
      <c r="N86" s="8">
        <f t="shared" ref="N86:N87" ca="1" si="109">M86-L86</f>
        <v>121</v>
      </c>
      <c r="O86" s="20">
        <f ca="1">H86*1.75%/30*N86</f>
        <v>421647.18750000006</v>
      </c>
      <c r="P86" s="20">
        <f t="shared" ref="P86:P87" ca="1" si="110">H86+O86</f>
        <v>6395397.1875</v>
      </c>
      <c r="Q86" s="91">
        <v>1.7500000000000002E-2</v>
      </c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8">
        <v>2</v>
      </c>
      <c r="B87" s="8" t="s">
        <v>56</v>
      </c>
      <c r="C87" s="8">
        <v>15</v>
      </c>
      <c r="D87" s="8">
        <f>C87+D86</f>
        <v>42</v>
      </c>
      <c r="E87" s="8">
        <v>7500</v>
      </c>
      <c r="F87" s="8">
        <f t="shared" si="104"/>
        <v>112500</v>
      </c>
      <c r="G87" s="8">
        <v>29.25</v>
      </c>
      <c r="H87" s="8">
        <f t="shared" si="105"/>
        <v>3290625</v>
      </c>
      <c r="I87" s="20">
        <f t="shared" si="106"/>
        <v>164531.25</v>
      </c>
      <c r="J87" s="20">
        <f t="shared" si="107"/>
        <v>3455156.25</v>
      </c>
      <c r="K87" s="20">
        <f>J87+K86</f>
        <v>9727593.75</v>
      </c>
      <c r="L87" s="76">
        <v>45899</v>
      </c>
      <c r="M87" s="21">
        <f t="shared" ca="1" si="108"/>
        <v>46020</v>
      </c>
      <c r="N87" s="8">
        <f t="shared" ca="1" si="109"/>
        <v>121</v>
      </c>
      <c r="O87" s="20">
        <f ca="1">H87*1.5%/30*N87</f>
        <v>199082.8125</v>
      </c>
      <c r="P87" s="20">
        <f t="shared" ca="1" si="110"/>
        <v>3489707.8125</v>
      </c>
      <c r="Q87" s="85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77"/>
      <c r="B88" s="77"/>
      <c r="C88" s="77"/>
      <c r="D88" s="77"/>
      <c r="E88" s="77"/>
      <c r="F88" s="77">
        <f>SUM(F86:F87)</f>
        <v>315000</v>
      </c>
      <c r="G88" s="77"/>
      <c r="H88" s="77"/>
      <c r="I88" s="78">
        <f t="shared" si="106"/>
        <v>0</v>
      </c>
      <c r="J88" s="77"/>
      <c r="K88" s="77"/>
      <c r="L88" s="77"/>
      <c r="M88" s="77"/>
      <c r="N88" s="77"/>
      <c r="O88" s="77"/>
      <c r="P88" s="78">
        <f ca="1">SUM(P86:P87)</f>
        <v>9885105</v>
      </c>
      <c r="Q88" s="79">
        <f ca="1">P88/F88</f>
        <v>31.381285714285713</v>
      </c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00" t="s">
        <v>57</v>
      </c>
      <c r="B89" s="94"/>
      <c r="C89" s="80">
        <f>SUM(C4:C88)</f>
        <v>1082</v>
      </c>
      <c r="D89" s="81"/>
      <c r="E89" s="81"/>
      <c r="F89" s="81"/>
      <c r="G89" s="81"/>
      <c r="H89" s="100" t="s">
        <v>58</v>
      </c>
      <c r="I89" s="94"/>
      <c r="J89" s="82"/>
      <c r="K89" s="81"/>
      <c r="L89" s="81"/>
      <c r="M89" s="81"/>
      <c r="N89" s="81"/>
      <c r="O89" s="81"/>
      <c r="P89" s="81"/>
      <c r="Q89" s="8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</sheetData>
  <mergeCells count="28">
    <mergeCell ref="A89:B89"/>
    <mergeCell ref="H89:I89"/>
    <mergeCell ref="A37:B37"/>
    <mergeCell ref="A40:B40"/>
    <mergeCell ref="A48:B48"/>
    <mergeCell ref="A52:B52"/>
    <mergeCell ref="A58:B58"/>
    <mergeCell ref="A69:B69"/>
    <mergeCell ref="A72:B72"/>
    <mergeCell ref="Q82:Q83"/>
    <mergeCell ref="Q86:Q87"/>
    <mergeCell ref="A1:Q1"/>
    <mergeCell ref="A2:B2"/>
    <mergeCell ref="Q4:Q7"/>
    <mergeCell ref="A9:B9"/>
    <mergeCell ref="Q11:Q13"/>
    <mergeCell ref="A15:B15"/>
    <mergeCell ref="A29:B29"/>
    <mergeCell ref="A74:B74"/>
    <mergeCell ref="A78:B78"/>
    <mergeCell ref="A79:B79"/>
    <mergeCell ref="A81:B81"/>
    <mergeCell ref="A85:B85"/>
    <mergeCell ref="Q17:Q21"/>
    <mergeCell ref="Q31:Q35"/>
    <mergeCell ref="Q41:Q46"/>
    <mergeCell ref="Q53:Q54"/>
    <mergeCell ref="Q59:Q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Gulkit Jain</cp:lastModifiedBy>
  <dcterms:created xsi:type="dcterms:W3CDTF">2025-12-29T16:53:12Z</dcterms:created>
  <dcterms:modified xsi:type="dcterms:W3CDTF">2025-12-29T16:53:12Z</dcterms:modified>
</cp:coreProperties>
</file>