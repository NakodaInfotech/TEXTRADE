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ee\OneDrive\Desktop\"/>
    </mc:Choice>
  </mc:AlternateContent>
  <xr:revisionPtr revIDLastSave="0" documentId="13_ncr:1_{16B93EF5-EBA1-4267-9A0E-21DC7B8DD76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FINAL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G6" i="3"/>
  <c r="M19" i="1"/>
  <c r="J19" i="1"/>
</calcChain>
</file>

<file path=xl/sharedStrings.xml><?xml version="1.0" encoding="utf-8"?>
<sst xmlns="http://schemas.openxmlformats.org/spreadsheetml/2006/main" count="131" uniqueCount="72">
  <si>
    <r>
      <rPr>
        <b/>
        <sz val="10"/>
        <rFont val="Verdana"/>
        <family val="2"/>
      </rPr>
      <t>Inv No</t>
    </r>
  </si>
  <si>
    <r>
      <rPr>
        <b/>
        <sz val="10"/>
        <rFont val="Verdana"/>
        <family val="2"/>
      </rPr>
      <t>Date</t>
    </r>
  </si>
  <si>
    <r>
      <rPr>
        <b/>
        <sz val="10"/>
        <rFont val="Verdana"/>
        <family val="2"/>
      </rPr>
      <t>Item Name</t>
    </r>
  </si>
  <si>
    <r>
      <rPr>
        <b/>
        <sz val="10"/>
        <rFont val="Verdana"/>
        <family val="2"/>
      </rPr>
      <t>Mtrs/Kgs</t>
    </r>
  </si>
  <si>
    <r>
      <rPr>
        <b/>
        <sz val="10"/>
        <rFont val="Verdana"/>
        <family val="2"/>
      </rPr>
      <t>Rate</t>
    </r>
  </si>
  <si>
    <r>
      <rPr>
        <b/>
        <sz val="10"/>
        <rFont val="Verdana"/>
        <family val="2"/>
      </rPr>
      <t>Bill Amt</t>
    </r>
  </si>
  <si>
    <r>
      <rPr>
        <b/>
        <sz val="10"/>
        <rFont val="Verdana"/>
        <family val="2"/>
      </rPr>
      <t>Recd Amt</t>
    </r>
  </si>
  <si>
    <r>
      <rPr>
        <b/>
        <sz val="10"/>
        <rFont val="Verdana"/>
        <family val="2"/>
      </rPr>
      <t>Over Due</t>
    </r>
  </si>
  <si>
    <r>
      <rPr>
        <b/>
        <sz val="10"/>
        <rFont val="Verdana"/>
        <family val="2"/>
      </rPr>
      <t>Total Days</t>
    </r>
  </si>
  <si>
    <r>
      <rPr>
        <sz val="10"/>
        <rFont val="Verdana"/>
        <family val="2"/>
      </rPr>
      <t>SLGSM- 00770</t>
    </r>
  </si>
  <si>
    <r>
      <rPr>
        <sz val="10"/>
        <rFont val="Verdana"/>
        <family val="2"/>
      </rPr>
      <t>SLGSM- 00944</t>
    </r>
  </si>
  <si>
    <r>
      <rPr>
        <sz val="10"/>
        <rFont val="Verdana"/>
        <family val="2"/>
      </rPr>
      <t>HONDA CITY</t>
    </r>
  </si>
  <si>
    <r>
      <rPr>
        <sz val="10"/>
        <rFont val="Verdana"/>
        <family val="2"/>
      </rPr>
      <t>SLGSM- 00945</t>
    </r>
  </si>
  <si>
    <r>
      <rPr>
        <sz val="10"/>
        <rFont val="Verdana"/>
        <family val="2"/>
      </rPr>
      <t>SLGSM- 00985</t>
    </r>
  </si>
  <si>
    <r>
      <rPr>
        <sz val="10"/>
        <rFont val="Verdana"/>
        <family val="2"/>
      </rPr>
      <t>ACCORD</t>
    </r>
  </si>
  <si>
    <r>
      <rPr>
        <sz val="10"/>
        <rFont val="Verdana"/>
        <family val="2"/>
      </rPr>
      <t>SLGSM- 00986</t>
    </r>
  </si>
  <si>
    <r>
      <rPr>
        <sz val="10"/>
        <rFont val="Verdana"/>
        <family val="2"/>
      </rPr>
      <t>SLGSM- 00987</t>
    </r>
  </si>
  <si>
    <r>
      <rPr>
        <sz val="10"/>
        <rFont val="Verdana"/>
        <family val="2"/>
      </rPr>
      <t>SLGSM- 00988</t>
    </r>
  </si>
  <si>
    <r>
      <rPr>
        <sz val="10"/>
        <rFont val="Verdana"/>
        <family val="2"/>
      </rPr>
      <t>SLGSM- 00989</t>
    </r>
  </si>
  <si>
    <r>
      <rPr>
        <sz val="10"/>
        <rFont val="Verdana"/>
        <family val="2"/>
      </rPr>
      <t>SLGSM- 00990</t>
    </r>
  </si>
  <si>
    <r>
      <rPr>
        <sz val="10"/>
        <rFont val="Verdana"/>
        <family val="2"/>
      </rPr>
      <t>SLGSM- 00991</t>
    </r>
  </si>
  <si>
    <r>
      <rPr>
        <sz val="10"/>
        <rFont val="Verdana"/>
        <family val="2"/>
      </rPr>
      <t>SLGSM- 01001</t>
    </r>
  </si>
  <si>
    <r>
      <rPr>
        <sz val="10"/>
        <rFont val="Verdana"/>
        <family val="2"/>
      </rPr>
      <t xml:space="preserve">40*60
</t>
    </r>
    <r>
      <rPr>
        <sz val="10"/>
        <rFont val="Verdana"/>
        <family val="2"/>
      </rPr>
      <t>76*76 46</t>
    </r>
  </si>
  <si>
    <r>
      <rPr>
        <sz val="10"/>
        <rFont val="Verdana"/>
        <family val="2"/>
      </rPr>
      <t>SLGSM- 01007</t>
    </r>
  </si>
  <si>
    <r>
      <rPr>
        <sz val="10"/>
        <rFont val="Verdana"/>
        <family val="2"/>
      </rPr>
      <t>SLGSM- 01008</t>
    </r>
  </si>
  <si>
    <r>
      <rPr>
        <sz val="10"/>
        <rFont val="Verdana"/>
        <family val="2"/>
      </rPr>
      <t>SLGSM- 01009</t>
    </r>
  </si>
  <si>
    <r>
      <rPr>
        <sz val="10"/>
        <rFont val="Verdana"/>
        <family val="2"/>
      </rPr>
      <t>SLGSM- 01015</t>
    </r>
  </si>
  <si>
    <r>
      <rPr>
        <b/>
        <sz val="10"/>
        <rFont val="Verdana"/>
        <family val="2"/>
      </rPr>
      <t>GRANDTOTAL</t>
    </r>
  </si>
  <si>
    <r>
      <rPr>
        <b/>
        <sz val="16"/>
        <rFont val="Verdana"/>
        <family val="2"/>
      </rPr>
      <t xml:space="preserve">ABHEE Outstanding Report
</t>
    </r>
    <r>
      <rPr>
        <sz val="10"/>
        <rFont val="Verdana"/>
        <family val="2"/>
      </rPr>
      <t>Generated on: 16/10/2025 18:05</t>
    </r>
  </si>
  <si>
    <t>DUE DATE</t>
  </si>
  <si>
    <t>PONO</t>
  </si>
  <si>
    <t>REC DATE</t>
  </si>
  <si>
    <t>SRNO</t>
  </si>
  <si>
    <t>SELLER</t>
  </si>
  <si>
    <r>
      <t xml:space="preserve">BUYER   </t>
    </r>
    <r>
      <rPr>
        <b/>
        <sz val="18"/>
        <rFont val="Verdana"/>
        <family val="2"/>
      </rPr>
      <t>ATLAS TEXTILE</t>
    </r>
    <r>
      <rPr>
        <sz val="10"/>
        <rFont val="Verdana"/>
        <family val="2"/>
      </rPr>
      <t xml:space="preserve">  WITH ADDRESS AND PHNO</t>
    </r>
  </si>
  <si>
    <t>ABHEE FABRICS LLP</t>
  </si>
  <si>
    <t>M ASHOKKUMAR FABRICS LLP</t>
  </si>
  <si>
    <t>RAJESHKUMAR UMEDMAL @CO</t>
  </si>
  <si>
    <t>DM COTTON FAB</t>
  </si>
  <si>
    <t>72*72/40*60</t>
  </si>
  <si>
    <t>76*76/40*60</t>
  </si>
  <si>
    <t>GD</t>
  </si>
  <si>
    <t>RUN-Bal</t>
  </si>
  <si>
    <t>BAL</t>
  </si>
  <si>
    <t>ABHEE Outstanding Report
Generated on: 16/10/2025 18:05</t>
  </si>
  <si>
    <t>BUYER   ATLAS TEXTILE  WITH ADDRESS AND PHNO</t>
  </si>
  <si>
    <t>Inv No</t>
  </si>
  <si>
    <t>Date</t>
  </si>
  <si>
    <t>Item Name</t>
  </si>
  <si>
    <t>MTRS</t>
  </si>
  <si>
    <t>Rate</t>
  </si>
  <si>
    <t>Bill Amt</t>
  </si>
  <si>
    <t>Recd Amt</t>
  </si>
  <si>
    <t>Over Due</t>
  </si>
  <si>
    <t>Total Days</t>
  </si>
  <si>
    <t>SLGSM- 00770</t>
  </si>
  <si>
    <t>SLGSM- 00944</t>
  </si>
  <si>
    <t>SLGSM- 00945</t>
  </si>
  <si>
    <t>SLGSM- 00985</t>
  </si>
  <si>
    <t>SLGSM- 00986</t>
  </si>
  <si>
    <t>SLGSM- 00987</t>
  </si>
  <si>
    <t>GRANDTOTAL</t>
  </si>
  <si>
    <t>{SRNO*12222 } { PO 775} { QUALITY 72*72/40*60}{CPNO-123/CPDATE 09-10-25 PATTA PROBLEM}</t>
  </si>
  <si>
    <t>lrno</t>
  </si>
  <si>
    <t>P-775</t>
  </si>
  <si>
    <t>SRNO PONO</t>
  </si>
  <si>
    <r>
      <rPr>
        <b/>
        <sz val="10"/>
        <rFont val="Verdana"/>
        <family val="2"/>
      </rPr>
      <t>Inv No</t>
    </r>
    <r>
      <rPr>
        <b/>
        <sz val="10"/>
        <rFont val="Verdana"/>
      </rPr>
      <t xml:space="preserve"> LRNO</t>
    </r>
  </si>
  <si>
    <t>Q- 72*72/40*60</t>
  </si>
  <si>
    <t>SELLER &amp; ITEM</t>
  </si>
  <si>
    <t>LR-123456</t>
  </si>
  <si>
    <t>CP 123 DT 22-08-25 PATTA PROBLEM</t>
  </si>
  <si>
    <t>{SRNO*12222 } { PO 775} {LRNO 123456} { QUALITY 72*72/40*60}{CPNO-123/CPDATE 09-10-25 PATTA PROBLEM}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</si>
</sst>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14009]dd\-mm\-yy;@"/>
  </numFmts>
  <fonts count="11" x14ac:knownFonts="1">
    <font>
      <sz val="10"/>
      <color rgb="FF000000"/>
      <name val="Times New Roman"/>
      <charset val="204"/>
    </font>
    <font>
      <b/>
      <sz val="10"/>
      <name val="Verdana"/>
    </font>
    <font>
      <sz val="10"/>
      <name val="Verdana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6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8"/>
      <name val="Verdana"/>
      <family val="2"/>
    </font>
    <font>
      <sz val="8"/>
      <name val="Times New Roman"/>
      <family val="1"/>
    </font>
    <font>
      <sz val="1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9F0E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164" fontId="3" fillId="0" borderId="1" xfId="0" applyNumberFormat="1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14" fontId="0" fillId="0" borderId="3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shrinkToFit="1"/>
    </xf>
    <xf numFmtId="164" fontId="3" fillId="0" borderId="11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vertical="center" shrinkToFi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left" vertical="center" shrinkToFit="1"/>
    </xf>
    <xf numFmtId="2" fontId="3" fillId="0" borderId="13" xfId="0" applyNumberFormat="1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sqref="A1:XFD1048576"/>
    </sheetView>
  </sheetViews>
  <sheetFormatPr defaultColWidth="10" defaultRowHeight="12.75" x14ac:dyDescent="0.2"/>
  <cols>
    <col min="1" max="1" width="10" style="3"/>
    <col min="2" max="2" width="8.33203125" style="3" bestFit="1" customWidth="1"/>
    <col min="3" max="3" width="8" style="3" bestFit="1" customWidth="1"/>
    <col min="4" max="4" width="9.1640625" style="3" bestFit="1" customWidth="1"/>
    <col min="5" max="5" width="10" style="3"/>
    <col min="6" max="6" width="11.1640625" style="3" bestFit="1" customWidth="1"/>
    <col min="7" max="7" width="8.6640625" style="3" customWidth="1"/>
    <col min="8" max="10" width="10" style="3"/>
    <col min="11" max="11" width="10.5" style="3" bestFit="1" customWidth="1"/>
    <col min="12" max="12" width="11.5" style="3" bestFit="1" customWidth="1"/>
    <col min="13" max="13" width="12" style="3" bestFit="1" customWidth="1"/>
    <col min="14" max="14" width="10.5" style="3" bestFit="1" customWidth="1"/>
    <col min="15" max="15" width="5.1640625" style="3" bestFit="1" customWidth="1"/>
    <col min="16" max="16" width="7.33203125" style="3" bestFit="1" customWidth="1"/>
    <col min="17" max="17" width="7.5" style="3" bestFit="1" customWidth="1"/>
    <col min="18" max="18" width="7.6640625" style="3" bestFit="1" customWidth="1"/>
    <col min="19" max="16384" width="10" style="3"/>
  </cols>
  <sheetData>
    <row r="1" spans="1:18" ht="31.5" customHeight="1" x14ac:dyDescent="0.2">
      <c r="A1" s="21" t="s">
        <v>28</v>
      </c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1.5" customHeight="1" x14ac:dyDescent="0.2">
      <c r="A2" s="23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1.5" customHeight="1" x14ac:dyDescent="0.2">
      <c r="A3" s="4" t="s">
        <v>33</v>
      </c>
      <c r="B3" s="2" t="s">
        <v>30</v>
      </c>
      <c r="C3" s="2" t="s">
        <v>32</v>
      </c>
      <c r="D3" s="2" t="s">
        <v>63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31</v>
      </c>
      <c r="M3" s="4" t="s">
        <v>43</v>
      </c>
      <c r="N3" s="4" t="s">
        <v>42</v>
      </c>
      <c r="O3" s="4" t="s">
        <v>41</v>
      </c>
      <c r="P3" s="2" t="s">
        <v>7</v>
      </c>
      <c r="Q3" s="2" t="s">
        <v>8</v>
      </c>
      <c r="R3" s="16" t="s">
        <v>29</v>
      </c>
    </row>
    <row r="4" spans="1:18" ht="38.25" x14ac:dyDescent="0.2">
      <c r="A4" s="12" t="s">
        <v>35</v>
      </c>
      <c r="B4" s="5">
        <v>775</v>
      </c>
      <c r="C4" s="5">
        <v>12222</v>
      </c>
      <c r="D4" s="5">
        <v>123456</v>
      </c>
      <c r="E4" s="5" t="s">
        <v>9</v>
      </c>
      <c r="F4" s="1">
        <v>45785</v>
      </c>
      <c r="G4" s="12" t="s">
        <v>39</v>
      </c>
      <c r="H4" s="7">
        <v>6478</v>
      </c>
      <c r="I4" s="7">
        <v>34</v>
      </c>
      <c r="J4" s="6">
        <v>228952</v>
      </c>
      <c r="K4" s="6">
        <v>226973</v>
      </c>
      <c r="L4" s="19">
        <v>45986</v>
      </c>
      <c r="M4" s="6">
        <v>1979</v>
      </c>
      <c r="N4" s="6">
        <v>1979</v>
      </c>
      <c r="O4" s="6">
        <v>110</v>
      </c>
      <c r="P4" s="6">
        <v>38</v>
      </c>
      <c r="Q4" s="14">
        <v>148</v>
      </c>
      <c r="R4" s="17"/>
    </row>
    <row r="5" spans="1:18" ht="38.25" x14ac:dyDescent="0.2">
      <c r="A5" s="12" t="s">
        <v>35</v>
      </c>
      <c r="B5" s="5">
        <v>775</v>
      </c>
      <c r="C5" s="5"/>
      <c r="D5" s="5"/>
      <c r="E5" s="5" t="s">
        <v>10</v>
      </c>
      <c r="F5" s="1">
        <v>45796</v>
      </c>
      <c r="G5" s="12" t="s">
        <v>39</v>
      </c>
      <c r="H5" s="7">
        <v>6719.25</v>
      </c>
      <c r="I5" s="7">
        <v>34.5</v>
      </c>
      <c r="J5" s="6">
        <v>240971</v>
      </c>
      <c r="K5" s="6">
        <v>0</v>
      </c>
      <c r="L5" s="7"/>
      <c r="M5" s="6">
        <v>240971</v>
      </c>
      <c r="N5" s="6">
        <v>242950</v>
      </c>
      <c r="O5" s="6">
        <v>110</v>
      </c>
      <c r="P5" s="6">
        <v>27</v>
      </c>
      <c r="Q5" s="14">
        <v>137</v>
      </c>
      <c r="R5" s="17"/>
    </row>
    <row r="6" spans="1:18" ht="38.25" x14ac:dyDescent="0.2">
      <c r="A6" s="12" t="s">
        <v>35</v>
      </c>
      <c r="B6" s="5">
        <v>775</v>
      </c>
      <c r="C6" s="5"/>
      <c r="D6" s="5"/>
      <c r="E6" s="5" t="s">
        <v>12</v>
      </c>
      <c r="F6" s="1">
        <v>45796</v>
      </c>
      <c r="G6" s="12" t="s">
        <v>39</v>
      </c>
      <c r="H6" s="7">
        <v>6611.25</v>
      </c>
      <c r="I6" s="7">
        <v>34.5</v>
      </c>
      <c r="J6" s="6">
        <v>237098</v>
      </c>
      <c r="K6" s="6">
        <v>0</v>
      </c>
      <c r="L6" s="7"/>
      <c r="M6" s="6">
        <v>237098</v>
      </c>
      <c r="N6" s="6">
        <v>480048</v>
      </c>
      <c r="O6" s="6">
        <v>110</v>
      </c>
      <c r="P6" s="6">
        <v>27</v>
      </c>
      <c r="Q6" s="14">
        <v>137</v>
      </c>
      <c r="R6" s="17"/>
    </row>
    <row r="7" spans="1:18" ht="38.25" x14ac:dyDescent="0.2">
      <c r="A7" s="12" t="s">
        <v>35</v>
      </c>
      <c r="B7" s="5">
        <v>1125</v>
      </c>
      <c r="C7" s="5"/>
      <c r="D7" s="5"/>
      <c r="E7" s="5" t="s">
        <v>13</v>
      </c>
      <c r="F7" s="1">
        <v>45797</v>
      </c>
      <c r="G7" s="12" t="s">
        <v>40</v>
      </c>
      <c r="H7" s="7">
        <v>6701</v>
      </c>
      <c r="I7" s="7">
        <v>36.25</v>
      </c>
      <c r="J7" s="6">
        <v>252506</v>
      </c>
      <c r="K7" s="6">
        <v>0</v>
      </c>
      <c r="L7" s="7"/>
      <c r="M7" s="6">
        <v>252506</v>
      </c>
      <c r="N7" s="6">
        <v>732554</v>
      </c>
      <c r="O7" s="6">
        <v>110</v>
      </c>
      <c r="P7" s="6">
        <v>26</v>
      </c>
      <c r="Q7" s="14">
        <v>136</v>
      </c>
      <c r="R7" s="17"/>
    </row>
    <row r="8" spans="1:18" ht="38.25" x14ac:dyDescent="0.2">
      <c r="A8" s="12" t="s">
        <v>35</v>
      </c>
      <c r="B8" s="5">
        <v>1125</v>
      </c>
      <c r="C8" s="5"/>
      <c r="D8" s="5"/>
      <c r="E8" s="5" t="s">
        <v>15</v>
      </c>
      <c r="F8" s="1">
        <v>45797</v>
      </c>
      <c r="G8" s="12" t="s">
        <v>40</v>
      </c>
      <c r="H8" s="7">
        <v>6593.25</v>
      </c>
      <c r="I8" s="7">
        <v>36.25</v>
      </c>
      <c r="J8" s="6">
        <v>248446</v>
      </c>
      <c r="K8" s="6">
        <v>0</v>
      </c>
      <c r="L8" s="7"/>
      <c r="M8" s="6">
        <v>248446</v>
      </c>
      <c r="N8" s="6">
        <v>981000</v>
      </c>
      <c r="O8" s="6">
        <v>110</v>
      </c>
      <c r="P8" s="6">
        <v>26</v>
      </c>
      <c r="Q8" s="14">
        <v>136</v>
      </c>
      <c r="R8" s="17"/>
    </row>
    <row r="9" spans="1:18" ht="38.25" x14ac:dyDescent="0.2">
      <c r="A9" s="12" t="s">
        <v>35</v>
      </c>
      <c r="B9" s="5">
        <v>1125</v>
      </c>
      <c r="C9" s="5"/>
      <c r="D9" s="5"/>
      <c r="E9" s="5" t="s">
        <v>16</v>
      </c>
      <c r="F9" s="1">
        <v>45797</v>
      </c>
      <c r="G9" s="12" t="s">
        <v>40</v>
      </c>
      <c r="H9" s="7">
        <v>6694</v>
      </c>
      <c r="I9" s="7">
        <v>36.25</v>
      </c>
      <c r="J9" s="6">
        <v>252242</v>
      </c>
      <c r="K9" s="6">
        <v>0</v>
      </c>
      <c r="L9" s="7"/>
      <c r="M9" s="6">
        <v>252242</v>
      </c>
      <c r="N9" s="6">
        <v>1233242</v>
      </c>
      <c r="O9" s="6">
        <v>110</v>
      </c>
      <c r="P9" s="6">
        <v>26</v>
      </c>
      <c r="Q9" s="14">
        <v>136</v>
      </c>
      <c r="R9" s="17"/>
    </row>
    <row r="10" spans="1:18" ht="38.25" x14ac:dyDescent="0.2">
      <c r="A10" s="12" t="s">
        <v>35</v>
      </c>
      <c r="B10" s="5">
        <v>1125</v>
      </c>
      <c r="C10" s="5"/>
      <c r="D10" s="5"/>
      <c r="E10" s="5" t="s">
        <v>17</v>
      </c>
      <c r="F10" s="1">
        <v>45797</v>
      </c>
      <c r="G10" s="12" t="s">
        <v>40</v>
      </c>
      <c r="H10" s="7">
        <v>7021.5</v>
      </c>
      <c r="I10" s="7">
        <v>36.25</v>
      </c>
      <c r="J10" s="6">
        <v>264583</v>
      </c>
      <c r="K10" s="6">
        <v>0</v>
      </c>
      <c r="L10" s="7"/>
      <c r="M10" s="6">
        <v>264583</v>
      </c>
      <c r="N10" s="6">
        <v>1497825</v>
      </c>
      <c r="O10" s="6">
        <v>110</v>
      </c>
      <c r="P10" s="6">
        <v>26</v>
      </c>
      <c r="Q10" s="14">
        <v>136</v>
      </c>
      <c r="R10" s="17"/>
    </row>
    <row r="11" spans="1:18" ht="63.75" x14ac:dyDescent="0.2">
      <c r="A11" s="12" t="s">
        <v>36</v>
      </c>
      <c r="B11" s="5">
        <v>912</v>
      </c>
      <c r="C11" s="5"/>
      <c r="D11" s="5"/>
      <c r="E11" s="5" t="s">
        <v>18</v>
      </c>
      <c r="F11" s="1">
        <v>45797</v>
      </c>
      <c r="G11" s="5" t="s">
        <v>14</v>
      </c>
      <c r="H11" s="7">
        <v>6878.3</v>
      </c>
      <c r="I11" s="7">
        <v>36.25</v>
      </c>
      <c r="J11" s="6">
        <v>259187</v>
      </c>
      <c r="K11" s="6">
        <v>0</v>
      </c>
      <c r="L11" s="7"/>
      <c r="M11" s="6">
        <v>259187</v>
      </c>
      <c r="N11" s="6">
        <v>1757012</v>
      </c>
      <c r="O11" s="6">
        <v>110</v>
      </c>
      <c r="P11" s="6">
        <v>26</v>
      </c>
      <c r="Q11" s="14">
        <v>136</v>
      </c>
      <c r="R11" s="17"/>
    </row>
    <row r="12" spans="1:18" ht="63.75" x14ac:dyDescent="0.2">
      <c r="A12" s="12" t="s">
        <v>36</v>
      </c>
      <c r="B12" s="5">
        <v>912</v>
      </c>
      <c r="C12" s="5"/>
      <c r="D12" s="5"/>
      <c r="E12" s="5" t="s">
        <v>19</v>
      </c>
      <c r="F12" s="1">
        <v>45797</v>
      </c>
      <c r="G12" s="5" t="s">
        <v>11</v>
      </c>
      <c r="H12" s="7">
        <v>6646.25</v>
      </c>
      <c r="I12" s="7">
        <v>34.5</v>
      </c>
      <c r="J12" s="6">
        <v>238353</v>
      </c>
      <c r="K12" s="6">
        <v>0</v>
      </c>
      <c r="L12" s="7"/>
      <c r="M12" s="6">
        <v>238353</v>
      </c>
      <c r="N12" s="6">
        <v>1995365</v>
      </c>
      <c r="O12" s="6">
        <v>110</v>
      </c>
      <c r="P12" s="6">
        <v>26</v>
      </c>
      <c r="Q12" s="14">
        <v>136</v>
      </c>
      <c r="R12" s="17"/>
    </row>
    <row r="13" spans="1:18" ht="63.75" x14ac:dyDescent="0.2">
      <c r="A13" s="12" t="s">
        <v>36</v>
      </c>
      <c r="B13" s="5">
        <v>916</v>
      </c>
      <c r="C13" s="5"/>
      <c r="D13" s="5"/>
      <c r="E13" s="5" t="s">
        <v>20</v>
      </c>
      <c r="F13" s="1">
        <v>45797</v>
      </c>
      <c r="G13" s="5" t="s">
        <v>11</v>
      </c>
      <c r="H13" s="7">
        <v>6686.75</v>
      </c>
      <c r="I13" s="7">
        <v>34.5</v>
      </c>
      <c r="J13" s="6">
        <v>239805</v>
      </c>
      <c r="K13" s="6">
        <v>0</v>
      </c>
      <c r="L13" s="7"/>
      <c r="M13" s="6">
        <v>239805</v>
      </c>
      <c r="N13" s="6">
        <v>2235170</v>
      </c>
      <c r="O13" s="6">
        <v>110</v>
      </c>
      <c r="P13" s="6">
        <v>26</v>
      </c>
      <c r="Q13" s="14">
        <v>136</v>
      </c>
      <c r="R13" s="17"/>
    </row>
    <row r="14" spans="1:18" ht="51" x14ac:dyDescent="0.2">
      <c r="A14" s="12" t="s">
        <v>37</v>
      </c>
      <c r="B14" s="5">
        <v>916</v>
      </c>
      <c r="C14" s="5"/>
      <c r="D14" s="5"/>
      <c r="E14" s="5" t="s">
        <v>21</v>
      </c>
      <c r="F14" s="1">
        <v>45797</v>
      </c>
      <c r="G14" s="8" t="s">
        <v>22</v>
      </c>
      <c r="H14" s="7">
        <v>6549</v>
      </c>
      <c r="I14" s="7">
        <v>35</v>
      </c>
      <c r="J14" s="6">
        <v>238269</v>
      </c>
      <c r="K14" s="6">
        <v>0</v>
      </c>
      <c r="L14" s="7"/>
      <c r="M14" s="6">
        <v>238269</v>
      </c>
      <c r="N14" s="6">
        <v>2473439</v>
      </c>
      <c r="O14" s="6">
        <v>110</v>
      </c>
      <c r="P14" s="6">
        <v>26</v>
      </c>
      <c r="Q14" s="14">
        <v>136</v>
      </c>
      <c r="R14" s="17"/>
    </row>
    <row r="15" spans="1:18" ht="51" x14ac:dyDescent="0.2">
      <c r="A15" s="12" t="s">
        <v>37</v>
      </c>
      <c r="B15" s="5">
        <v>916</v>
      </c>
      <c r="C15" s="5"/>
      <c r="D15" s="5"/>
      <c r="E15" s="5" t="s">
        <v>23</v>
      </c>
      <c r="F15" s="1">
        <v>45798</v>
      </c>
      <c r="G15" s="12" t="s">
        <v>40</v>
      </c>
      <c r="H15" s="7">
        <v>6628.5</v>
      </c>
      <c r="I15" s="7">
        <v>36.25</v>
      </c>
      <c r="J15" s="6">
        <v>249774</v>
      </c>
      <c r="K15" s="6">
        <v>0</v>
      </c>
      <c r="L15" s="7"/>
      <c r="M15" s="6">
        <v>249774</v>
      </c>
      <c r="N15" s="6">
        <v>2723213</v>
      </c>
      <c r="O15" s="6">
        <v>110</v>
      </c>
      <c r="P15" s="6">
        <v>25</v>
      </c>
      <c r="Q15" s="14">
        <v>135</v>
      </c>
      <c r="R15" s="17"/>
    </row>
    <row r="16" spans="1:18" ht="38.25" x14ac:dyDescent="0.2">
      <c r="A16" s="12" t="s">
        <v>38</v>
      </c>
      <c r="B16" s="5">
        <v>1520</v>
      </c>
      <c r="C16" s="5"/>
      <c r="D16" s="5"/>
      <c r="E16" s="5" t="s">
        <v>24</v>
      </c>
      <c r="F16" s="1">
        <v>45798</v>
      </c>
      <c r="G16" s="12" t="s">
        <v>40</v>
      </c>
      <c r="H16" s="7">
        <v>6650</v>
      </c>
      <c r="I16" s="7">
        <v>34.5</v>
      </c>
      <c r="J16" s="6">
        <v>238487</v>
      </c>
      <c r="K16" s="6">
        <v>0</v>
      </c>
      <c r="L16" s="7"/>
      <c r="M16" s="6">
        <v>238487</v>
      </c>
      <c r="N16" s="6">
        <v>2961700</v>
      </c>
      <c r="O16" s="6">
        <v>110</v>
      </c>
      <c r="P16" s="6">
        <v>25</v>
      </c>
      <c r="Q16" s="14">
        <v>135</v>
      </c>
      <c r="R16" s="17"/>
    </row>
    <row r="17" spans="1:18" ht="38.25" x14ac:dyDescent="0.2">
      <c r="A17" s="12" t="s">
        <v>38</v>
      </c>
      <c r="B17" s="5">
        <v>1520</v>
      </c>
      <c r="C17" s="5"/>
      <c r="D17" s="5"/>
      <c r="E17" s="5" t="s">
        <v>25</v>
      </c>
      <c r="F17" s="1">
        <v>45798</v>
      </c>
      <c r="G17" s="12" t="s">
        <v>40</v>
      </c>
      <c r="H17" s="7">
        <v>6755</v>
      </c>
      <c r="I17" s="7">
        <v>34.5</v>
      </c>
      <c r="J17" s="6">
        <v>242253</v>
      </c>
      <c r="K17" s="6">
        <v>0</v>
      </c>
      <c r="L17" s="7"/>
      <c r="M17" s="6">
        <v>242253</v>
      </c>
      <c r="N17" s="6">
        <v>3203953</v>
      </c>
      <c r="O17" s="6">
        <v>110</v>
      </c>
      <c r="P17" s="6">
        <v>25</v>
      </c>
      <c r="Q17" s="14">
        <v>135</v>
      </c>
      <c r="R17" s="17"/>
    </row>
    <row r="18" spans="1:18" ht="38.25" x14ac:dyDescent="0.2">
      <c r="A18" s="12" t="s">
        <v>38</v>
      </c>
      <c r="B18" s="5">
        <v>1520</v>
      </c>
      <c r="C18" s="5"/>
      <c r="D18" s="5"/>
      <c r="E18" s="5" t="s">
        <v>26</v>
      </c>
      <c r="F18" s="1">
        <v>45798</v>
      </c>
      <c r="G18" s="12" t="s">
        <v>40</v>
      </c>
      <c r="H18" s="7">
        <v>6938.3</v>
      </c>
      <c r="I18" s="7">
        <v>36.25</v>
      </c>
      <c r="J18" s="6">
        <v>261448</v>
      </c>
      <c r="K18" s="6">
        <v>0</v>
      </c>
      <c r="L18" s="7"/>
      <c r="M18" s="6">
        <v>261448</v>
      </c>
      <c r="N18" s="6">
        <v>3465401</v>
      </c>
      <c r="O18" s="6">
        <v>110</v>
      </c>
      <c r="P18" s="6">
        <v>25</v>
      </c>
      <c r="Q18" s="14">
        <v>135</v>
      </c>
      <c r="R18" s="17"/>
    </row>
    <row r="19" spans="1:18" ht="25.5" x14ac:dyDescent="0.2">
      <c r="A19" s="9" t="s">
        <v>27</v>
      </c>
      <c r="B19" s="9"/>
      <c r="C19" s="9"/>
      <c r="D19" s="9"/>
      <c r="E19" s="10"/>
      <c r="F19" s="10"/>
      <c r="G19" s="10"/>
      <c r="H19" s="10"/>
      <c r="I19" s="10"/>
      <c r="J19" s="18">
        <f>SUM(J4:J18)</f>
        <v>3692374</v>
      </c>
      <c r="K19" s="18">
        <v>226973</v>
      </c>
      <c r="L19" s="11"/>
      <c r="M19" s="18">
        <f>SUM(M4:M18)</f>
        <v>3465401</v>
      </c>
      <c r="N19" s="10"/>
      <c r="O19" s="10"/>
      <c r="P19" s="10"/>
      <c r="Q19" s="15"/>
      <c r="R19" s="17"/>
    </row>
    <row r="20" spans="1:18" x14ac:dyDescent="0.2">
      <c r="M20" s="13"/>
    </row>
  </sheetData>
  <mergeCells count="2">
    <mergeCell ref="A1:R1"/>
    <mergeCell ref="A2:R2"/>
  </mergeCells>
  <phoneticPr fontId="9" type="noConversion"/>
  <pageMargins left="0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95D1-BBC8-47C1-A7C7-42AFEE7E89BB}">
  <dimension ref="A1:N7"/>
  <sheetViews>
    <sheetView topLeftCell="A3" workbookViewId="0">
      <selection activeCell="N4" sqref="N4:N5"/>
    </sheetView>
  </sheetViews>
  <sheetFormatPr defaultColWidth="10" defaultRowHeight="12.75" x14ac:dyDescent="0.2"/>
  <cols>
    <col min="1" max="1" width="11.1640625" style="3" bestFit="1" customWidth="1"/>
    <col min="2" max="2" width="35.6640625" style="3" customWidth="1"/>
    <col min="3" max="3" width="8" style="3" bestFit="1" customWidth="1"/>
    <col min="4" max="4" width="21" style="3" customWidth="1"/>
    <col min="5" max="7" width="10" style="3"/>
    <col min="8" max="8" width="10.5" style="3" bestFit="1" customWidth="1"/>
    <col min="9" max="9" width="12" style="3" bestFit="1" customWidth="1"/>
    <col min="10" max="10" width="10.5" style="3" bestFit="1" customWidth="1"/>
    <col min="11" max="11" width="5.1640625" style="3" bestFit="1" customWidth="1"/>
    <col min="12" max="12" width="7.33203125" style="3" bestFit="1" customWidth="1"/>
    <col min="13" max="13" width="7.5" style="3" bestFit="1" customWidth="1"/>
    <col min="14" max="14" width="8.83203125" style="3" customWidth="1"/>
    <col min="15" max="16384" width="10" style="3"/>
  </cols>
  <sheetData>
    <row r="1" spans="1:14" ht="31.5" customHeight="1" x14ac:dyDescent="0.2">
      <c r="A1" s="39" t="s">
        <v>28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31.5" customHeight="1" x14ac:dyDescent="0.2">
      <c r="A2" s="40" t="s">
        <v>34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31.5" customHeight="1" x14ac:dyDescent="0.2">
      <c r="A3" s="2" t="s">
        <v>1</v>
      </c>
      <c r="B3" s="4" t="s">
        <v>68</v>
      </c>
      <c r="C3" s="35" t="s">
        <v>65</v>
      </c>
      <c r="D3" s="16" t="s">
        <v>66</v>
      </c>
      <c r="E3" s="35" t="s">
        <v>3</v>
      </c>
      <c r="F3" s="35" t="s">
        <v>4</v>
      </c>
      <c r="G3" s="35" t="s">
        <v>5</v>
      </c>
      <c r="H3" s="35" t="s">
        <v>6</v>
      </c>
      <c r="I3" s="16" t="s">
        <v>43</v>
      </c>
      <c r="J3" s="16" t="s">
        <v>42</v>
      </c>
      <c r="K3" s="16" t="s">
        <v>41</v>
      </c>
      <c r="L3" s="35" t="s">
        <v>7</v>
      </c>
      <c r="M3" s="35" t="s">
        <v>8</v>
      </c>
      <c r="N3" s="16" t="s">
        <v>29</v>
      </c>
    </row>
    <row r="4" spans="1:14" x14ac:dyDescent="0.2">
      <c r="A4" s="30">
        <v>45785</v>
      </c>
      <c r="B4" s="33" t="s">
        <v>35</v>
      </c>
      <c r="C4" s="32">
        <v>12222</v>
      </c>
      <c r="D4" s="32" t="s">
        <v>9</v>
      </c>
      <c r="E4" s="36">
        <v>6478</v>
      </c>
      <c r="F4" s="36">
        <v>34</v>
      </c>
      <c r="G4" s="37">
        <v>228952</v>
      </c>
      <c r="H4" s="37">
        <v>226973</v>
      </c>
      <c r="I4" s="37">
        <v>1979</v>
      </c>
      <c r="J4" s="38">
        <v>1979</v>
      </c>
      <c r="K4" s="38">
        <v>110</v>
      </c>
      <c r="L4" s="38">
        <v>38</v>
      </c>
      <c r="M4" s="38">
        <v>148</v>
      </c>
      <c r="N4" s="28"/>
    </row>
    <row r="5" spans="1:14" x14ac:dyDescent="0.2">
      <c r="A5" s="31"/>
      <c r="B5" s="34" t="s">
        <v>67</v>
      </c>
      <c r="C5" s="32" t="s">
        <v>64</v>
      </c>
      <c r="D5" s="32" t="s">
        <v>69</v>
      </c>
      <c r="E5" s="41" t="s">
        <v>70</v>
      </c>
      <c r="F5" s="41"/>
      <c r="G5" s="41"/>
      <c r="H5" s="41"/>
      <c r="I5" s="41"/>
      <c r="J5" s="41"/>
      <c r="K5" s="41"/>
      <c r="L5" s="41"/>
      <c r="M5" s="42"/>
      <c r="N5" s="29"/>
    </row>
    <row r="6" spans="1:14" x14ac:dyDescent="0.2">
      <c r="A6" s="10"/>
      <c r="B6" s="9" t="s">
        <v>27</v>
      </c>
      <c r="C6" s="9"/>
      <c r="D6" s="10"/>
      <c r="E6" s="10"/>
      <c r="F6" s="10"/>
      <c r="G6" s="18">
        <f>SUM(G4:G5)</f>
        <v>228952</v>
      </c>
      <c r="H6" s="18">
        <v>226973</v>
      </c>
      <c r="I6" s="18">
        <f>SUM(I4:I5)</f>
        <v>1979</v>
      </c>
      <c r="J6" s="10"/>
      <c r="K6" s="10"/>
      <c r="L6" s="10"/>
      <c r="M6" s="15"/>
      <c r="N6" s="17"/>
    </row>
    <row r="7" spans="1:14" x14ac:dyDescent="0.2">
      <c r="I7" s="13"/>
    </row>
  </sheetData>
  <mergeCells count="5">
    <mergeCell ref="A2:N2"/>
    <mergeCell ref="A4:A5"/>
    <mergeCell ref="N4:N5"/>
    <mergeCell ref="E5:M5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8D78-6FAF-466E-B38F-027CC4DC9385}">
  <dimension ref="A1:O18"/>
  <sheetViews>
    <sheetView tabSelected="1" workbookViewId="0">
      <selection activeCell="R4" sqref="R4"/>
    </sheetView>
  </sheetViews>
  <sheetFormatPr defaultRowHeight="23.25" customHeight="1" x14ac:dyDescent="0.2"/>
  <cols>
    <col min="1" max="1" width="34.6640625" style="3" bestFit="1" customWidth="1"/>
    <col min="2" max="2" width="14.33203125" style="3" bestFit="1" customWidth="1"/>
    <col min="3" max="3" width="10.5" style="3" bestFit="1" customWidth="1"/>
    <col min="4" max="4" width="14.1640625" style="3" bestFit="1" customWidth="1"/>
    <col min="5" max="5" width="8.1640625" style="3" bestFit="1" customWidth="1"/>
    <col min="6" max="6" width="6.1640625" style="3" bestFit="1" customWidth="1"/>
    <col min="7" max="7" width="8.33203125" style="3" bestFit="1" customWidth="1"/>
    <col min="8" max="8" width="10" style="3" bestFit="1" customWidth="1"/>
    <col min="9" max="9" width="11.1640625" style="3" bestFit="1" customWidth="1"/>
    <col min="10" max="10" width="8.1640625" style="3" bestFit="1" customWidth="1"/>
    <col min="11" max="11" width="9" style="3" bestFit="1" customWidth="1"/>
    <col min="12" max="12" width="4.1640625" style="3" bestFit="1" customWidth="1"/>
    <col min="13" max="13" width="9.6640625" style="3" bestFit="1" customWidth="1"/>
    <col min="14" max="14" width="11" style="3" bestFit="1" customWidth="1"/>
    <col min="15" max="15" width="11.5" style="3" bestFit="1" customWidth="1"/>
    <col min="16" max="16384" width="9.33203125" style="3"/>
  </cols>
  <sheetData>
    <row r="1" spans="1:15" ht="23.25" customHeight="1" x14ac:dyDescent="0.2">
      <c r="A1" s="43" t="s">
        <v>44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25" customHeight="1" x14ac:dyDescent="0.2">
      <c r="A2" s="44" t="s">
        <v>45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23.25" customHeight="1" x14ac:dyDescent="0.2">
      <c r="A3" s="28" t="s">
        <v>33</v>
      </c>
      <c r="B3" s="27" t="s">
        <v>46</v>
      </c>
      <c r="C3" s="27" t="s">
        <v>47</v>
      </c>
      <c r="D3" s="27" t="s">
        <v>48</v>
      </c>
      <c r="E3" s="27" t="s">
        <v>49</v>
      </c>
      <c r="F3" s="27" t="s">
        <v>50</v>
      </c>
      <c r="G3" s="27" t="s">
        <v>51</v>
      </c>
      <c r="H3" s="27" t="s">
        <v>52</v>
      </c>
      <c r="I3" s="27" t="s">
        <v>31</v>
      </c>
      <c r="J3" s="27" t="s">
        <v>43</v>
      </c>
      <c r="K3" s="27" t="s">
        <v>42</v>
      </c>
      <c r="L3" s="27" t="s">
        <v>41</v>
      </c>
      <c r="M3" s="27" t="s">
        <v>53</v>
      </c>
      <c r="N3" s="27" t="s">
        <v>54</v>
      </c>
      <c r="O3" s="27" t="s">
        <v>29</v>
      </c>
    </row>
    <row r="4" spans="1:15" ht="23.25" customHeight="1" x14ac:dyDescent="0.2">
      <c r="A4" s="29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23.25" customHeight="1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</row>
    <row r="6" spans="1:15" ht="23.25" customHeight="1" x14ac:dyDescent="0.2">
      <c r="A6" s="17" t="s">
        <v>35</v>
      </c>
      <c r="B6" s="17" t="s">
        <v>55</v>
      </c>
      <c r="C6" s="20">
        <v>45785</v>
      </c>
      <c r="D6" s="17" t="s">
        <v>39</v>
      </c>
      <c r="E6" s="17">
        <v>6478</v>
      </c>
      <c r="F6" s="17">
        <v>34</v>
      </c>
      <c r="G6" s="17">
        <v>228952</v>
      </c>
      <c r="H6" s="17">
        <v>226973</v>
      </c>
      <c r="I6" s="20">
        <v>45986</v>
      </c>
      <c r="J6" s="17">
        <v>1979</v>
      </c>
      <c r="K6" s="17">
        <v>1979</v>
      </c>
      <c r="L6" s="17">
        <v>110</v>
      </c>
      <c r="M6" s="17">
        <v>38</v>
      </c>
      <c r="N6" s="17">
        <v>148</v>
      </c>
      <c r="O6" s="17"/>
    </row>
    <row r="7" spans="1:15" ht="23.25" customHeight="1" x14ac:dyDescent="0.2">
      <c r="A7" s="24" t="s">
        <v>71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</row>
    <row r="8" spans="1:15" ht="23.25" customHeight="1" x14ac:dyDescent="0.2">
      <c r="A8" s="17" t="s">
        <v>35</v>
      </c>
      <c r="B8" s="17" t="s">
        <v>56</v>
      </c>
      <c r="C8" s="20">
        <v>45796</v>
      </c>
      <c r="D8" s="17" t="s">
        <v>39</v>
      </c>
      <c r="E8" s="17">
        <v>6719.25</v>
      </c>
      <c r="F8" s="17">
        <v>34.5</v>
      </c>
      <c r="G8" s="17">
        <v>240971</v>
      </c>
      <c r="H8" s="17">
        <v>0</v>
      </c>
      <c r="I8" s="17"/>
      <c r="J8" s="17">
        <v>240971</v>
      </c>
      <c r="K8" s="17">
        <v>242950</v>
      </c>
      <c r="L8" s="17">
        <v>110</v>
      </c>
      <c r="M8" s="17">
        <v>27</v>
      </c>
      <c r="N8" s="17">
        <v>137</v>
      </c>
      <c r="O8" s="17"/>
    </row>
    <row r="9" spans="1:15" ht="23.25" customHeight="1" x14ac:dyDescent="0.2">
      <c r="A9" s="24" t="s">
        <v>71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</row>
    <row r="10" spans="1:15" ht="23.25" customHeight="1" x14ac:dyDescent="0.2">
      <c r="A10" s="17" t="s">
        <v>35</v>
      </c>
      <c r="B10" s="17" t="s">
        <v>57</v>
      </c>
      <c r="C10" s="20">
        <v>45796</v>
      </c>
      <c r="D10" s="17" t="s">
        <v>39</v>
      </c>
      <c r="E10" s="17">
        <v>6611.25</v>
      </c>
      <c r="F10" s="17">
        <v>34.5</v>
      </c>
      <c r="G10" s="17">
        <v>237098</v>
      </c>
      <c r="H10" s="17">
        <v>0</v>
      </c>
      <c r="I10" s="17"/>
      <c r="J10" s="17">
        <v>237098</v>
      </c>
      <c r="K10" s="17">
        <v>480048</v>
      </c>
      <c r="L10" s="17">
        <v>110</v>
      </c>
      <c r="M10" s="17">
        <v>27</v>
      </c>
      <c r="N10" s="17">
        <v>137</v>
      </c>
      <c r="O10" s="17"/>
    </row>
    <row r="11" spans="1:15" ht="23.25" customHeight="1" x14ac:dyDescent="0.2">
      <c r="A11" s="24" t="s">
        <v>71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6"/>
    </row>
    <row r="12" spans="1:15" ht="23.25" customHeight="1" x14ac:dyDescent="0.2">
      <c r="A12" s="17" t="s">
        <v>35</v>
      </c>
      <c r="B12" s="17" t="s">
        <v>58</v>
      </c>
      <c r="C12" s="20">
        <v>45797</v>
      </c>
      <c r="D12" s="17" t="s">
        <v>40</v>
      </c>
      <c r="E12" s="17">
        <v>6701</v>
      </c>
      <c r="F12" s="17">
        <v>36.25</v>
      </c>
      <c r="G12" s="17">
        <v>252506</v>
      </c>
      <c r="H12" s="17">
        <v>0</v>
      </c>
      <c r="I12" s="17"/>
      <c r="J12" s="17">
        <v>252506</v>
      </c>
      <c r="K12" s="17">
        <v>732554</v>
      </c>
      <c r="L12" s="17">
        <v>110</v>
      </c>
      <c r="M12" s="17">
        <v>26</v>
      </c>
      <c r="N12" s="17">
        <v>136</v>
      </c>
      <c r="O12" s="17"/>
    </row>
    <row r="13" spans="1:15" ht="23.25" customHeight="1" x14ac:dyDescent="0.2">
      <c r="A13" s="24" t="s">
        <v>71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1:15" ht="23.25" customHeight="1" x14ac:dyDescent="0.2">
      <c r="A14" s="17" t="s">
        <v>35</v>
      </c>
      <c r="B14" s="17" t="s">
        <v>59</v>
      </c>
      <c r="C14" s="20">
        <v>45797</v>
      </c>
      <c r="D14" s="17" t="s">
        <v>40</v>
      </c>
      <c r="E14" s="17">
        <v>6593.25</v>
      </c>
      <c r="F14" s="17">
        <v>36.25</v>
      </c>
      <c r="G14" s="17">
        <v>248446</v>
      </c>
      <c r="H14" s="17">
        <v>0</v>
      </c>
      <c r="I14" s="17"/>
      <c r="J14" s="17">
        <v>248446</v>
      </c>
      <c r="K14" s="17">
        <v>981000</v>
      </c>
      <c r="L14" s="17">
        <v>110</v>
      </c>
      <c r="M14" s="17">
        <v>26</v>
      </c>
      <c r="N14" s="17">
        <v>136</v>
      </c>
      <c r="O14" s="17"/>
    </row>
    <row r="15" spans="1:15" ht="23.25" customHeight="1" x14ac:dyDescent="0.2">
      <c r="A15" s="24" t="s">
        <v>62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</row>
    <row r="16" spans="1:15" ht="23.25" customHeight="1" x14ac:dyDescent="0.2">
      <c r="A16" s="17" t="s">
        <v>35</v>
      </c>
      <c r="B16" s="17" t="s">
        <v>60</v>
      </c>
      <c r="C16" s="20">
        <v>45797</v>
      </c>
      <c r="D16" s="17" t="s">
        <v>40</v>
      </c>
      <c r="E16" s="17">
        <v>6694</v>
      </c>
      <c r="F16" s="17">
        <v>36.25</v>
      </c>
      <c r="G16" s="17">
        <v>252242</v>
      </c>
      <c r="H16" s="17">
        <v>0</v>
      </c>
      <c r="I16" s="17"/>
      <c r="J16" s="17">
        <v>252242</v>
      </c>
      <c r="K16" s="17">
        <v>1233242</v>
      </c>
      <c r="L16" s="17">
        <v>110</v>
      </c>
      <c r="M16" s="17">
        <v>26</v>
      </c>
      <c r="N16" s="17">
        <v>136</v>
      </c>
      <c r="O16" s="17"/>
    </row>
    <row r="17" spans="1:15" ht="23.25" customHeight="1" x14ac:dyDescent="0.2">
      <c r="A17" s="24" t="s">
        <v>71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</row>
    <row r="18" spans="1:15" ht="23.25" customHeight="1" x14ac:dyDescent="0.2">
      <c r="A18" s="17" t="s">
        <v>61</v>
      </c>
      <c r="B18" s="17"/>
      <c r="C18" s="17"/>
      <c r="D18" s="17"/>
      <c r="E18" s="17"/>
      <c r="F18" s="17"/>
      <c r="G18" s="17">
        <v>3692374</v>
      </c>
      <c r="H18" s="17">
        <v>226973</v>
      </c>
      <c r="I18" s="17"/>
      <c r="J18" s="17">
        <v>3465401</v>
      </c>
      <c r="K18" s="17"/>
      <c r="L18" s="17"/>
      <c r="M18" s="17"/>
      <c r="N18" s="17"/>
      <c r="O18" s="17"/>
    </row>
  </sheetData>
  <mergeCells count="24">
    <mergeCell ref="A1:O1"/>
    <mergeCell ref="A2:O2"/>
    <mergeCell ref="O3:O4"/>
    <mergeCell ref="N3:N4"/>
    <mergeCell ref="M3:M4"/>
    <mergeCell ref="L3:L4"/>
    <mergeCell ref="K3:K4"/>
    <mergeCell ref="J3:J4"/>
    <mergeCell ref="I3:I4"/>
    <mergeCell ref="A13:O13"/>
    <mergeCell ref="A5:O5"/>
    <mergeCell ref="A15:O15"/>
    <mergeCell ref="A17:O17"/>
    <mergeCell ref="B3:B4"/>
    <mergeCell ref="A3:A4"/>
    <mergeCell ref="A7:O7"/>
    <mergeCell ref="A9:O9"/>
    <mergeCell ref="A11:O11"/>
    <mergeCell ref="H3:H4"/>
    <mergeCell ref="G3:G4"/>
    <mergeCell ref="F3:F4"/>
    <mergeCell ref="E3:E4"/>
    <mergeCell ref="D3:D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FINAL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abhee</dc:creator>
  <cp:lastModifiedBy>abhee fabrics</cp:lastModifiedBy>
  <dcterms:created xsi:type="dcterms:W3CDTF">2025-10-16T04:56:28Z</dcterms:created>
  <dcterms:modified xsi:type="dcterms:W3CDTF">2025-10-16T06:56:01Z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2025-10-03T00:00:00Z</vt:filetime>
  </property>
  <property fmtid="{D5CDD505-2E9C-101B-9397-08002B2CF9AE}" pid="3" name="LastSaved">
    <vt:filetime>2025-10-16T00:00:00Z</vt:filetime>
  </property>
  <property fmtid="{D5CDD505-2E9C-101B-9397-08002B2CF9AE}" pid="4" name="Producer">
    <vt:lpwstr>iTextSharp™ 5.5.1 ©2000-2014 iText Group NV (AGPL-version)</vt:lpwstr>
  </property>
</Properties>
</file>