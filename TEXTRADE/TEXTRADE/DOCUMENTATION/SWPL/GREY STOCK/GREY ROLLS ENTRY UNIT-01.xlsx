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20115" windowHeight="69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8" i="1" l="1"/>
  <c r="D18" i="1"/>
  <c r="C18" i="1"/>
</calcChain>
</file>

<file path=xl/sharedStrings.xml><?xml version="1.0" encoding="utf-8"?>
<sst xmlns="http://schemas.openxmlformats.org/spreadsheetml/2006/main" count="260" uniqueCount="184">
  <si>
    <t>80732</t>
  </si>
  <si>
    <t>80735</t>
  </si>
  <si>
    <t>80736</t>
  </si>
  <si>
    <t>80739</t>
  </si>
  <si>
    <t>80740</t>
  </si>
  <si>
    <t>80767</t>
  </si>
  <si>
    <t>80768</t>
  </si>
  <si>
    <t>80773</t>
  </si>
  <si>
    <t>80806</t>
  </si>
  <si>
    <t>80810</t>
  </si>
  <si>
    <t>80811</t>
  </si>
  <si>
    <t>80813</t>
  </si>
  <si>
    <t>80818</t>
  </si>
  <si>
    <t>80819</t>
  </si>
  <si>
    <t xml:space="preserve">Quality  : </t>
  </si>
  <si>
    <t>940221</t>
  </si>
  <si>
    <t xml:space="preserve">Total For Quality </t>
  </si>
  <si>
    <t>9220145</t>
  </si>
  <si>
    <t>80667</t>
  </si>
  <si>
    <t>80672</t>
  </si>
  <si>
    <t>80673</t>
  </si>
  <si>
    <t>80674</t>
  </si>
  <si>
    <t>80675</t>
  </si>
  <si>
    <t>80686</t>
  </si>
  <si>
    <t>80688</t>
  </si>
  <si>
    <t>80694</t>
  </si>
  <si>
    <t>80695</t>
  </si>
  <si>
    <t>80696</t>
  </si>
  <si>
    <t>80697</t>
  </si>
  <si>
    <t>80701</t>
  </si>
  <si>
    <t>80702</t>
  </si>
  <si>
    <t>80708</t>
  </si>
  <si>
    <t>80709</t>
  </si>
  <si>
    <t>80710</t>
  </si>
  <si>
    <t>80711</t>
  </si>
  <si>
    <t>80712</t>
  </si>
  <si>
    <t>80715</t>
  </si>
  <si>
    <t>80719</t>
  </si>
  <si>
    <t>80726</t>
  </si>
  <si>
    <t>80727</t>
  </si>
  <si>
    <t>80728</t>
  </si>
  <si>
    <t>80729</t>
  </si>
  <si>
    <t>80730</t>
  </si>
  <si>
    <t>80733</t>
  </si>
  <si>
    <t>80741</t>
  </si>
  <si>
    <t>80742</t>
  </si>
  <si>
    <t>80743</t>
  </si>
  <si>
    <t>80744</t>
  </si>
  <si>
    <t>80745</t>
  </si>
  <si>
    <t>80746</t>
  </si>
  <si>
    <t>80758</t>
  </si>
  <si>
    <t>80759</t>
  </si>
  <si>
    <t>80760</t>
  </si>
  <si>
    <t>80761</t>
  </si>
  <si>
    <t>80769</t>
  </si>
  <si>
    <t>80770</t>
  </si>
  <si>
    <t>80771</t>
  </si>
  <si>
    <t>80777</t>
  </si>
  <si>
    <t>80778</t>
  </si>
  <si>
    <t>80791</t>
  </si>
  <si>
    <t>80798</t>
  </si>
  <si>
    <t>80800</t>
  </si>
  <si>
    <t>940259</t>
  </si>
  <si>
    <t>80750</t>
  </si>
  <si>
    <t>80764</t>
  </si>
  <si>
    <t>80765</t>
  </si>
  <si>
    <t>80776</t>
  </si>
  <si>
    <t>80781</t>
  </si>
  <si>
    <t>80784</t>
  </si>
  <si>
    <t>80785</t>
  </si>
  <si>
    <t>80793</t>
  </si>
  <si>
    <t>80802</t>
  </si>
  <si>
    <t>80805</t>
  </si>
  <si>
    <t>80808</t>
  </si>
  <si>
    <t>80814</t>
  </si>
  <si>
    <t>80815</t>
  </si>
  <si>
    <t>80816</t>
  </si>
  <si>
    <t>9240219</t>
  </si>
  <si>
    <t>80738</t>
  </si>
  <si>
    <t>80763</t>
  </si>
  <si>
    <t>80772</t>
  </si>
  <si>
    <t>80779</t>
  </si>
  <si>
    <t>80786</t>
  </si>
  <si>
    <t>80787</t>
  </si>
  <si>
    <t>80790</t>
  </si>
  <si>
    <t>80794</t>
  </si>
  <si>
    <t>80796</t>
  </si>
  <si>
    <t>80803</t>
  </si>
  <si>
    <t>80807</t>
  </si>
  <si>
    <t>80809</t>
  </si>
  <si>
    <t>80812</t>
  </si>
  <si>
    <t>80817</t>
  </si>
  <si>
    <t>80820</t>
  </si>
  <si>
    <t>940163</t>
  </si>
  <si>
    <t>71394</t>
  </si>
  <si>
    <t>9301159</t>
  </si>
  <si>
    <t>74845</t>
  </si>
  <si>
    <t>930570</t>
  </si>
  <si>
    <t>37110</t>
  </si>
  <si>
    <t>37134</t>
  </si>
  <si>
    <t>930576</t>
  </si>
  <si>
    <t>43167</t>
  </si>
  <si>
    <t>43172</t>
  </si>
  <si>
    <t>930585</t>
  </si>
  <si>
    <t>32737</t>
  </si>
  <si>
    <t>34806</t>
  </si>
  <si>
    <t>34847</t>
  </si>
  <si>
    <t>9240337</t>
  </si>
  <si>
    <t>55876</t>
  </si>
  <si>
    <t>55882</t>
  </si>
  <si>
    <t>9240485</t>
  </si>
  <si>
    <t>64483</t>
  </si>
  <si>
    <t>9240585</t>
  </si>
  <si>
    <t>67353</t>
  </si>
  <si>
    <t>9240603</t>
  </si>
  <si>
    <t>67988</t>
  </si>
  <si>
    <t>9230285</t>
  </si>
  <si>
    <t>73739</t>
  </si>
  <si>
    <t>9230260</t>
  </si>
  <si>
    <t>55771</t>
  </si>
  <si>
    <t>56390</t>
  </si>
  <si>
    <t>9230261</t>
  </si>
  <si>
    <t>46486</t>
  </si>
  <si>
    <t>56466</t>
  </si>
  <si>
    <t>9230263</t>
  </si>
  <si>
    <t>56527</t>
  </si>
  <si>
    <t>9240232</t>
  </si>
  <si>
    <t>67676</t>
  </si>
  <si>
    <t>67677</t>
  </si>
  <si>
    <t>67678</t>
  </si>
  <si>
    <t>67697</t>
  </si>
  <si>
    <t>67705</t>
  </si>
  <si>
    <t>9240400</t>
  </si>
  <si>
    <t>50590</t>
  </si>
  <si>
    <t>50601</t>
  </si>
  <si>
    <t>9240401</t>
  </si>
  <si>
    <t>50647</t>
  </si>
  <si>
    <t>50667</t>
  </si>
  <si>
    <t>9240629</t>
  </si>
  <si>
    <t>69391</t>
  </si>
  <si>
    <t>69394</t>
  </si>
  <si>
    <t>69398</t>
  </si>
  <si>
    <t>930643</t>
  </si>
  <si>
    <t>53765</t>
  </si>
  <si>
    <t>930703</t>
  </si>
  <si>
    <t>68515</t>
  </si>
  <si>
    <t>930782</t>
  </si>
  <si>
    <t>60501</t>
  </si>
  <si>
    <t>60513</t>
  </si>
  <si>
    <t>930961</t>
  </si>
  <si>
    <t>68164</t>
  </si>
  <si>
    <t>68179</t>
  </si>
  <si>
    <t>68308</t>
  </si>
  <si>
    <t>68403</t>
  </si>
  <si>
    <t>940222</t>
  </si>
  <si>
    <t>75596</t>
  </si>
  <si>
    <t>75599</t>
  </si>
  <si>
    <t>79527</t>
  </si>
  <si>
    <t>79532</t>
  </si>
  <si>
    <t>79534</t>
  </si>
  <si>
    <t>79547</t>
  </si>
  <si>
    <t>79549</t>
  </si>
  <si>
    <t>79551</t>
  </si>
  <si>
    <t>79552</t>
  </si>
  <si>
    <t>79555</t>
  </si>
  <si>
    <t>79563</t>
  </si>
  <si>
    <t>79564</t>
  </si>
  <si>
    <t>79568</t>
  </si>
  <si>
    <t>79575</t>
  </si>
  <si>
    <t>79576</t>
  </si>
  <si>
    <t>79582</t>
  </si>
  <si>
    <t>79584</t>
  </si>
  <si>
    <t>79590</t>
  </si>
  <si>
    <t>79594</t>
  </si>
  <si>
    <t>79598</t>
  </si>
  <si>
    <t>79635</t>
  </si>
  <si>
    <t>79650</t>
  </si>
  <si>
    <t>79772</t>
  </si>
  <si>
    <t>80460</t>
  </si>
  <si>
    <t>80461</t>
  </si>
  <si>
    <t>80465</t>
  </si>
  <si>
    <t>80472</t>
  </si>
  <si>
    <t>80484</t>
  </si>
  <si>
    <t>80485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</si>
</sst>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0"/>
    <numFmt numFmtId="165" formatCode="###0.00"/>
    <numFmt numFmtId="166" formatCode="###0.000"/>
  </numFmts>
  <fonts count="5" x14ac:knownFonts="1">
    <font>
      <sz val="11"/>
      <color theme="1"/>
      <name val="Calibri"/>
      <family val="2"/>
      <scheme val="minor"/>
    </font>
    <font>
      <sz val="9"/>
      <color indexed="72"/>
      <name val="Verdana"/>
    </font>
    <font>
      <b/>
      <sz val="9"/>
      <color indexed="0"/>
      <name val="Verdana"/>
    </font>
    <font>
      <sz val="9"/>
      <color indexed="0"/>
      <name val="Verdana"/>
    </font>
    <font>
      <b/>
      <sz val="9"/>
      <color indexed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211">
    <xf numFmtId="0" fontId="0" fillId="0" borderId="0" xfId="0"/>
    <xf numFmtId="166" fontId="3" fillId="0" borderId="0" xfId="1" applyNumberFormat="1" applyFont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1" fillId="0" borderId="0" xfId="1" applyFont="1" applyAlignment="1" applyProtection="1">
      <alignment horizontal="lef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  <xf numFmtId="0" fontId="2" fillId="0" borderId="0" xfId="1" applyFont="1" applyAlignment="1">
      <alignment horizontal="left" vertical="top"/>
      <protection locked="0"/>
    </xf>
    <xf numFmtId="164" fontId="3" fillId="0" borderId="0" xfId="1" applyNumberFormat="1" applyFont="1" applyAlignment="1">
      <alignment horizontal="right" vertical="top"/>
      <protection locked="0"/>
    </xf>
    <xf numFmtId="165" fontId="3" fillId="0" borderId="0" xfId="1" applyNumberFormat="1" applyFont="1" applyAlignment="1">
      <alignment horizontal="right" vertical="top"/>
      <protection locked="0"/>
    </xf>
    <xf numFmtId="166" fontId="3" fillId="0" borderId="0" xfId="1" applyNumberFormat="1" applyFont="1" applyAlignment="1">
      <alignment horizontal="right" vertical="top"/>
      <protection locked="0"/>
    </xf>
    <xf numFmtId="0" fontId="3" fillId="0" borderId="0" xfId="1" applyFont="1" applyAlignment="1">
      <alignment horizontal="left" vertical="top"/>
      <protection locked="0"/>
    </xf>
    <xf numFmtId="0" fontId="4" fillId="0" borderId="0" xfId="1" applyFont="1" applyAlignment="1">
      <alignment horizontal="left" vertical="top"/>
      <protection locked="0"/>
    </xf>
    <xf numFmtId="0" fontId="2" fillId="0" borderId="1" xfId="1" applyFont="1" applyBorder="1" applyAlignment="1">
      <alignment horizontal="left" vertical="top"/>
      <protection locked="0"/>
    </xf>
    <xf numFmtId="164" fontId="4" fillId="0" borderId="1" xfId="1" applyNumberFormat="1" applyFont="1" applyBorder="1" applyAlignment="1">
      <alignment horizontal="right" vertical="top"/>
      <protection locked="0"/>
    </xf>
    <xf numFmtId="165" fontId="4" fillId="0" borderId="1" xfId="1" applyNumberFormat="1" applyFont="1" applyBorder="1" applyAlignment="1">
      <alignment horizontal="right" vertical="top"/>
      <protection locked="0"/>
    </xf>
    <xf numFmtId="166" fontId="4" fillId="0" borderId="1" xfId="1" applyNumberFormat="1" applyFont="1" applyBorder="1" applyAlignment="1">
      <alignment horizontal="right" vertical="top"/>
      <protection locked="0"/>
    </xf>
    <xf numFmtId="166" fontId="3" fillId="0" borderId="1" xfId="1" applyNumberFormat="1" applyFont="1" applyBorder="1" applyAlignment="1">
      <alignment horizontal="right" vertical="top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8"/>
  <sheetViews>
    <sheetView tabSelected="1" topLeftCell="A253" workbookViewId="0">
      <selection activeCell="G263" sqref="G263"/>
    </sheetView>
  </sheetViews>
  <sheetFormatPr defaultRowHeight="15" x14ac:dyDescent="0.25"/>
  <cols>
    <col min="1" max="1" width="18" bestFit="1" customWidth="1"/>
    <col min="2" max="2" width="10.28515625" bestFit="1" customWidth="1"/>
    <col min="3" max="3" width="3.85546875" bestFit="1" customWidth="1"/>
    <col min="4" max="4" width="9.5703125" bestFit="1" customWidth="1"/>
    <col min="5" max="5" width="10.85546875" bestFit="1" customWidth="1"/>
  </cols>
  <sheetData>
    <row r="1" spans="1:6" x14ac:dyDescent="0.25">
      <c r="A1" s="2" t="s">
        <v>14</v>
      </c>
      <c r="B1" s="7" t="s">
        <v>15</v>
      </c>
      <c r="C1" s="3"/>
      <c r="D1" s="4"/>
      <c r="E1" s="5"/>
      <c r="F1" s="1"/>
    </row>
    <row r="2" spans="1:6" x14ac:dyDescent="0.25">
      <c r="A2" s="6"/>
      <c r="B2" s="6"/>
      <c r="C2" s="3"/>
      <c r="D2" s="4"/>
      <c r="E2" s="5"/>
      <c r="F2" s="1"/>
    </row>
    <row r="3" spans="1:6" x14ac:dyDescent="0.25">
      <c r="A3" s="6" t="s">
        <v>0</v>
      </c>
      <c r="B3" s="6"/>
      <c r="C3" s="3">
        <v>1</v>
      </c>
      <c r="D3" s="4">
        <v>190</v>
      </c>
      <c r="E3" s="5">
        <v>83.8</v>
      </c>
      <c r="F3" s="1"/>
    </row>
    <row r="4" spans="1:6" x14ac:dyDescent="0.25">
      <c r="A4" s="6" t="s">
        <v>1</v>
      </c>
      <c r="B4" s="6"/>
      <c r="C4" s="3">
        <v>1</v>
      </c>
      <c r="D4" s="4">
        <v>202</v>
      </c>
      <c r="E4" s="5">
        <v>88.5</v>
      </c>
      <c r="F4" s="1"/>
    </row>
    <row r="5" spans="1:6" x14ac:dyDescent="0.25">
      <c r="A5" s="6" t="s">
        <v>2</v>
      </c>
      <c r="B5" s="6"/>
      <c r="C5" s="3">
        <v>1</v>
      </c>
      <c r="D5" s="4">
        <v>214</v>
      </c>
      <c r="E5" s="5">
        <v>93</v>
      </c>
      <c r="F5" s="1"/>
    </row>
    <row r="6" spans="1:6" x14ac:dyDescent="0.25">
      <c r="A6" s="6" t="s">
        <v>3</v>
      </c>
      <c r="B6" s="6"/>
      <c r="C6" s="3">
        <v>1</v>
      </c>
      <c r="D6" s="4">
        <v>204</v>
      </c>
      <c r="E6" s="5">
        <v>89.8</v>
      </c>
      <c r="F6" s="1"/>
    </row>
    <row r="7" spans="1:6" x14ac:dyDescent="0.25">
      <c r="A7" s="6" t="s">
        <v>4</v>
      </c>
      <c r="B7" s="6"/>
      <c r="C7" s="3">
        <v>1</v>
      </c>
      <c r="D7" s="4">
        <v>202</v>
      </c>
      <c r="E7" s="5">
        <v>88.7</v>
      </c>
      <c r="F7" s="1"/>
    </row>
    <row r="8" spans="1:6" x14ac:dyDescent="0.25">
      <c r="A8" s="6" t="s">
        <v>5</v>
      </c>
      <c r="B8" s="6"/>
      <c r="C8" s="3">
        <v>1</v>
      </c>
      <c r="D8" s="4">
        <v>185</v>
      </c>
      <c r="E8" s="5">
        <v>81.95</v>
      </c>
      <c r="F8" s="1"/>
    </row>
    <row r="9" spans="1:6" x14ac:dyDescent="0.25">
      <c r="A9" s="6" t="s">
        <v>6</v>
      </c>
      <c r="B9" s="6"/>
      <c r="C9" s="3">
        <v>1</v>
      </c>
      <c r="D9" s="4">
        <v>196</v>
      </c>
      <c r="E9" s="5">
        <v>86.45</v>
      </c>
      <c r="F9" s="1"/>
    </row>
    <row r="10" spans="1:6" x14ac:dyDescent="0.25">
      <c r="A10" s="6" t="s">
        <v>7</v>
      </c>
      <c r="B10" s="6"/>
      <c r="C10" s="3">
        <v>1</v>
      </c>
      <c r="D10" s="4">
        <v>108</v>
      </c>
      <c r="E10" s="5">
        <v>47.7</v>
      </c>
      <c r="F10" s="1"/>
    </row>
    <row r="11" spans="1:6" x14ac:dyDescent="0.25">
      <c r="A11" s="6" t="s">
        <v>8</v>
      </c>
      <c r="B11" s="6"/>
      <c r="C11" s="3">
        <v>1</v>
      </c>
      <c r="D11" s="4">
        <v>72</v>
      </c>
      <c r="E11" s="5">
        <v>31.7</v>
      </c>
      <c r="F11" s="1"/>
    </row>
    <row r="12" spans="1:6" x14ac:dyDescent="0.25">
      <c r="A12" s="6" t="s">
        <v>9</v>
      </c>
      <c r="B12" s="6"/>
      <c r="C12" s="3">
        <v>1</v>
      </c>
      <c r="D12" s="4">
        <v>192</v>
      </c>
      <c r="E12" s="5">
        <v>84.95</v>
      </c>
      <c r="F12" s="1"/>
    </row>
    <row r="13" spans="1:6" x14ac:dyDescent="0.25">
      <c r="A13" s="6" t="s">
        <v>10</v>
      </c>
      <c r="B13" s="6"/>
      <c r="C13" s="3">
        <v>1</v>
      </c>
      <c r="D13" s="4">
        <v>211</v>
      </c>
      <c r="E13" s="5">
        <v>92.85</v>
      </c>
      <c r="F13" s="1"/>
    </row>
    <row r="14" spans="1:6" x14ac:dyDescent="0.25">
      <c r="A14" s="6" t="s">
        <v>11</v>
      </c>
      <c r="B14" s="6"/>
      <c r="C14" s="3">
        <v>1</v>
      </c>
      <c r="D14" s="4">
        <v>251</v>
      </c>
      <c r="E14" s="5">
        <v>110.64999999999999</v>
      </c>
      <c r="F14" s="1"/>
    </row>
    <row r="15" spans="1:6" x14ac:dyDescent="0.25">
      <c r="A15" s="6" t="s">
        <v>12</v>
      </c>
      <c r="B15" s="6"/>
      <c r="C15" s="3">
        <v>1</v>
      </c>
      <c r="D15" s="4">
        <v>206</v>
      </c>
      <c r="E15" s="5">
        <v>91.2</v>
      </c>
    </row>
    <row r="16" spans="1:6" x14ac:dyDescent="0.25">
      <c r="A16" s="6" t="s">
        <v>13</v>
      </c>
      <c r="B16" s="6"/>
      <c r="C16" s="3">
        <v>1</v>
      </c>
      <c r="D16" s="4">
        <v>204</v>
      </c>
      <c r="E16" s="5">
        <v>90.149999999999991</v>
      </c>
    </row>
    <row r="17" spans="1:6" x14ac:dyDescent="0.25">
      <c r="A17" s="6"/>
      <c r="B17" s="6"/>
      <c r="C17" s="3"/>
      <c r="D17" s="4"/>
      <c r="E17" s="5"/>
    </row>
    <row r="18" spans="1:6" x14ac:dyDescent="0.25">
      <c r="A18" s="8" t="s">
        <v>16</v>
      </c>
      <c r="B18" s="8" t="s">
        <v>15</v>
      </c>
      <c r="C18" s="9">
        <f>SUM(C3:C17)</f>
        <v>14</v>
      </c>
      <c r="D18" s="10">
        <f>SUM(D3:D17)</f>
        <v>2637</v>
      </c>
      <c r="E18" s="11">
        <f>SUM(E3:E16)</f>
        <v>1161.4000000000003</v>
      </c>
    </row>
    <row r="20" spans="1:6" x14ac:dyDescent="0.25">
      <c r="A20" s="12" t="s">
        <v>14</v>
      </c>
      <c r="B20" s="17" t="s">
        <v>17</v>
      </c>
      <c r="C20" s="13"/>
      <c r="D20" s="14"/>
      <c r="E20" s="15"/>
      <c r="F20" s="15"/>
    </row>
    <row r="21" spans="1:6" x14ac:dyDescent="0.25">
      <c r="A21" s="16"/>
      <c r="B21" s="16"/>
      <c r="C21" s="13"/>
      <c r="D21" s="14"/>
      <c r="E21" s="15"/>
      <c r="F21" s="15"/>
    </row>
    <row r="22" spans="1:6" x14ac:dyDescent="0.25">
      <c r="A22" s="16" t="s">
        <v>18</v>
      </c>
      <c r="B22" s="16"/>
      <c r="C22" s="23">
        <v>1</v>
      </c>
      <c r="D22" s="14">
        <v>117</v>
      </c>
      <c r="E22" s="15">
        <v>38.449999999999996</v>
      </c>
      <c r="F22" s="15">
        <v>0.32900000000000001</v>
      </c>
    </row>
    <row r="23" spans="1:6" x14ac:dyDescent="0.25">
      <c r="A23" s="16" t="s">
        <v>19</v>
      </c>
      <c r="B23" s="16"/>
      <c r="C23" s="23">
        <v>1</v>
      </c>
      <c r="D23" s="14">
        <v>114</v>
      </c>
      <c r="E23" s="15">
        <v>37.349999999999994</v>
      </c>
      <c r="F23" s="15">
        <v>0.32800000000000001</v>
      </c>
    </row>
    <row r="24" spans="1:6" x14ac:dyDescent="0.25">
      <c r="A24" s="16" t="s">
        <v>20</v>
      </c>
      <c r="B24" s="16"/>
      <c r="C24" s="23">
        <v>1</v>
      </c>
      <c r="D24" s="14">
        <v>118</v>
      </c>
      <c r="E24" s="15">
        <v>38.6</v>
      </c>
      <c r="F24" s="15">
        <v>0.32700000000000001</v>
      </c>
    </row>
    <row r="25" spans="1:6" x14ac:dyDescent="0.25">
      <c r="A25" s="16" t="s">
        <v>21</v>
      </c>
      <c r="B25" s="16"/>
      <c r="C25" s="23">
        <v>1</v>
      </c>
      <c r="D25" s="14">
        <v>114</v>
      </c>
      <c r="E25" s="15">
        <v>37.549999999999997</v>
      </c>
      <c r="F25" s="15">
        <v>0.32900000000000001</v>
      </c>
    </row>
    <row r="26" spans="1:6" x14ac:dyDescent="0.25">
      <c r="A26" s="16" t="s">
        <v>22</v>
      </c>
      <c r="B26" s="16"/>
      <c r="C26" s="23">
        <v>1</v>
      </c>
      <c r="D26" s="14">
        <v>118</v>
      </c>
      <c r="E26" s="15">
        <v>38</v>
      </c>
      <c r="F26" s="15">
        <v>0.32200000000000001</v>
      </c>
    </row>
    <row r="27" spans="1:6" x14ac:dyDescent="0.25">
      <c r="A27" s="16" t="s">
        <v>23</v>
      </c>
      <c r="B27" s="16"/>
      <c r="C27" s="23">
        <v>1</v>
      </c>
      <c r="D27" s="14">
        <v>114</v>
      </c>
      <c r="E27" s="15">
        <v>37.4</v>
      </c>
      <c r="F27" s="15">
        <v>0.32800000000000001</v>
      </c>
    </row>
    <row r="28" spans="1:6" x14ac:dyDescent="0.25">
      <c r="A28" s="16" t="s">
        <v>24</v>
      </c>
      <c r="B28" s="16"/>
      <c r="C28" s="23">
        <v>1</v>
      </c>
      <c r="D28" s="14">
        <v>116</v>
      </c>
      <c r="E28" s="15">
        <v>38.15</v>
      </c>
      <c r="F28" s="15">
        <v>0.32900000000000001</v>
      </c>
    </row>
    <row r="29" spans="1:6" x14ac:dyDescent="0.25">
      <c r="A29" s="16" t="s">
        <v>25</v>
      </c>
      <c r="B29" s="16"/>
      <c r="C29" s="23">
        <v>1</v>
      </c>
      <c r="D29" s="14">
        <v>119</v>
      </c>
      <c r="E29" s="15">
        <v>39.15</v>
      </c>
      <c r="F29" s="15">
        <v>0.32900000000000001</v>
      </c>
    </row>
    <row r="30" spans="1:6" x14ac:dyDescent="0.25">
      <c r="A30" s="16" t="s">
        <v>26</v>
      </c>
      <c r="B30" s="16"/>
      <c r="C30" s="23">
        <v>1</v>
      </c>
      <c r="D30" s="14">
        <v>117</v>
      </c>
      <c r="E30" s="15">
        <v>38.4</v>
      </c>
      <c r="F30" s="15">
        <v>0.32800000000000001</v>
      </c>
    </row>
    <row r="31" spans="1:6" x14ac:dyDescent="0.25">
      <c r="A31" s="16" t="s">
        <v>27</v>
      </c>
      <c r="B31" s="16"/>
      <c r="C31" s="23">
        <v>1</v>
      </c>
      <c r="D31" s="14">
        <v>113</v>
      </c>
      <c r="E31" s="15">
        <v>37.25</v>
      </c>
      <c r="F31" s="15">
        <v>0.33</v>
      </c>
    </row>
    <row r="32" spans="1:6" x14ac:dyDescent="0.25">
      <c r="A32" s="16" t="s">
        <v>28</v>
      </c>
      <c r="B32" s="16"/>
      <c r="C32" s="23">
        <v>1</v>
      </c>
      <c r="D32" s="14">
        <v>117</v>
      </c>
      <c r="E32" s="15">
        <v>38.349999999999994</v>
      </c>
      <c r="F32" s="15">
        <v>0.32800000000000001</v>
      </c>
    </row>
    <row r="33" spans="1:6" x14ac:dyDescent="0.25">
      <c r="A33" s="16" t="s">
        <v>29</v>
      </c>
      <c r="B33" s="16"/>
      <c r="C33" s="23">
        <v>1</v>
      </c>
      <c r="D33" s="14">
        <v>115</v>
      </c>
      <c r="E33" s="15">
        <v>38</v>
      </c>
      <c r="F33" s="15">
        <v>0.33</v>
      </c>
    </row>
    <row r="34" spans="1:6" x14ac:dyDescent="0.25">
      <c r="A34" s="16" t="s">
        <v>30</v>
      </c>
      <c r="B34" s="16"/>
      <c r="C34" s="23">
        <v>1</v>
      </c>
      <c r="D34" s="14">
        <v>116</v>
      </c>
      <c r="E34" s="15">
        <v>38.200000000000003</v>
      </c>
      <c r="F34" s="15">
        <v>0.32900000000000001</v>
      </c>
    </row>
    <row r="35" spans="1:6" x14ac:dyDescent="0.25">
      <c r="A35" s="16" t="s">
        <v>31</v>
      </c>
      <c r="B35" s="16"/>
      <c r="C35" s="23">
        <v>1</v>
      </c>
      <c r="D35" s="14">
        <v>119</v>
      </c>
      <c r="E35" s="15">
        <v>38.849999999999994</v>
      </c>
      <c r="F35" s="15">
        <v>0.32600000000000001</v>
      </c>
    </row>
    <row r="36" spans="1:6" x14ac:dyDescent="0.25">
      <c r="A36" s="16" t="s">
        <v>32</v>
      </c>
      <c r="B36" s="16"/>
      <c r="C36" s="23">
        <v>1</v>
      </c>
      <c r="D36" s="14">
        <v>115</v>
      </c>
      <c r="E36" s="15">
        <v>37.700000000000003</v>
      </c>
      <c r="F36" s="15">
        <v>0.32800000000000001</v>
      </c>
    </row>
    <row r="37" spans="1:6" x14ac:dyDescent="0.25">
      <c r="A37" s="16" t="s">
        <v>33</v>
      </c>
      <c r="B37" s="16"/>
      <c r="C37" s="23">
        <v>1</v>
      </c>
      <c r="D37" s="14">
        <v>120</v>
      </c>
      <c r="E37" s="15">
        <v>39.15</v>
      </c>
      <c r="F37" s="15">
        <v>0.32600000000000001</v>
      </c>
    </row>
    <row r="38" spans="1:6" x14ac:dyDescent="0.25">
      <c r="A38" s="16" t="s">
        <v>34</v>
      </c>
      <c r="B38" s="16"/>
      <c r="C38" s="23">
        <v>1</v>
      </c>
      <c r="D38" s="14">
        <v>108</v>
      </c>
      <c r="E38" s="15">
        <v>35.549999999999997</v>
      </c>
      <c r="F38" s="15">
        <v>0.32900000000000001</v>
      </c>
    </row>
    <row r="39" spans="1:6" x14ac:dyDescent="0.25">
      <c r="A39" s="16" t="s">
        <v>35</v>
      </c>
      <c r="B39" s="16"/>
      <c r="C39" s="23">
        <v>1</v>
      </c>
      <c r="D39" s="14">
        <v>118</v>
      </c>
      <c r="E39" s="15">
        <v>38.799999999999997</v>
      </c>
      <c r="F39" s="15">
        <v>0.32900000000000001</v>
      </c>
    </row>
    <row r="40" spans="1:6" x14ac:dyDescent="0.25">
      <c r="A40" s="16" t="s">
        <v>36</v>
      </c>
      <c r="B40" s="16"/>
      <c r="C40" s="23">
        <v>1</v>
      </c>
      <c r="D40" s="14">
        <v>115</v>
      </c>
      <c r="E40" s="15">
        <v>38.08</v>
      </c>
      <c r="F40" s="15">
        <v>0.33100000000000002</v>
      </c>
    </row>
    <row r="41" spans="1:6" x14ac:dyDescent="0.25">
      <c r="A41" s="16" t="s">
        <v>37</v>
      </c>
      <c r="B41" s="16"/>
      <c r="C41" s="23">
        <v>1</v>
      </c>
      <c r="D41" s="14">
        <v>118</v>
      </c>
      <c r="E41" s="15">
        <v>38.849999999999994</v>
      </c>
      <c r="F41" s="15">
        <v>0.32900000000000001</v>
      </c>
    </row>
    <row r="42" spans="1:6" x14ac:dyDescent="0.25">
      <c r="A42" s="16" t="s">
        <v>38</v>
      </c>
      <c r="B42" s="16"/>
      <c r="C42" s="23">
        <v>1</v>
      </c>
      <c r="D42" s="14">
        <v>116</v>
      </c>
      <c r="E42" s="15">
        <v>38.200000000000003</v>
      </c>
      <c r="F42" s="15">
        <v>0.32900000000000001</v>
      </c>
    </row>
    <row r="43" spans="1:6" x14ac:dyDescent="0.25">
      <c r="A43" s="16" t="s">
        <v>39</v>
      </c>
      <c r="B43" s="16"/>
      <c r="C43" s="23">
        <v>1</v>
      </c>
      <c r="D43" s="14">
        <v>118</v>
      </c>
      <c r="E43" s="15">
        <v>39.5</v>
      </c>
      <c r="F43" s="15">
        <v>0.33500000000000002</v>
      </c>
    </row>
    <row r="44" spans="1:6" x14ac:dyDescent="0.25">
      <c r="A44" s="16" t="s">
        <v>40</v>
      </c>
      <c r="B44" s="16"/>
      <c r="C44" s="23">
        <v>1</v>
      </c>
      <c r="D44" s="14">
        <v>113</v>
      </c>
      <c r="E44" s="15">
        <v>37.700000000000003</v>
      </c>
      <c r="F44" s="15">
        <v>0.33400000000000002</v>
      </c>
    </row>
    <row r="45" spans="1:6" x14ac:dyDescent="0.25">
      <c r="A45" s="16" t="s">
        <v>41</v>
      </c>
      <c r="B45" s="16"/>
      <c r="C45" s="23">
        <v>1</v>
      </c>
      <c r="D45" s="14">
        <v>119</v>
      </c>
      <c r="E45" s="15">
        <v>39.15</v>
      </c>
      <c r="F45" s="15">
        <v>0.32900000000000001</v>
      </c>
    </row>
    <row r="46" spans="1:6" x14ac:dyDescent="0.25">
      <c r="A46" s="16" t="s">
        <v>42</v>
      </c>
      <c r="B46" s="16"/>
      <c r="C46" s="23">
        <v>1</v>
      </c>
      <c r="D46" s="14">
        <v>57</v>
      </c>
      <c r="E46" s="15">
        <v>19</v>
      </c>
      <c r="F46" s="15">
        <v>0.33300000000000002</v>
      </c>
    </row>
    <row r="47" spans="1:6" x14ac:dyDescent="0.25">
      <c r="A47" s="16" t="s">
        <v>43</v>
      </c>
      <c r="B47" s="16"/>
      <c r="C47" s="23">
        <v>1</v>
      </c>
      <c r="D47" s="14">
        <v>113</v>
      </c>
      <c r="E47" s="15">
        <v>37.449999999999996</v>
      </c>
      <c r="F47" s="15">
        <v>0.33100000000000002</v>
      </c>
    </row>
    <row r="48" spans="1:6" x14ac:dyDescent="0.25">
      <c r="A48" s="16" t="s">
        <v>44</v>
      </c>
      <c r="B48" s="16"/>
      <c r="C48" s="23">
        <v>1</v>
      </c>
      <c r="D48" s="14">
        <v>114</v>
      </c>
      <c r="E48" s="15">
        <v>37.200000000000003</v>
      </c>
      <c r="F48" s="15">
        <v>0.32600000000000001</v>
      </c>
    </row>
    <row r="49" spans="1:6" x14ac:dyDescent="0.25">
      <c r="A49" s="16" t="s">
        <v>45</v>
      </c>
      <c r="B49" s="16"/>
      <c r="C49" s="23">
        <v>1</v>
      </c>
      <c r="D49" s="14">
        <v>115</v>
      </c>
      <c r="E49" s="15">
        <v>37.75</v>
      </c>
      <c r="F49" s="15">
        <v>0.32800000000000001</v>
      </c>
    </row>
    <row r="50" spans="1:6" x14ac:dyDescent="0.25">
      <c r="A50" s="16" t="s">
        <v>46</v>
      </c>
      <c r="B50" s="16"/>
      <c r="C50" s="23">
        <v>1</v>
      </c>
      <c r="D50" s="14">
        <v>116</v>
      </c>
      <c r="E50" s="15">
        <v>38.15</v>
      </c>
      <c r="F50" s="15">
        <v>0.32900000000000001</v>
      </c>
    </row>
    <row r="51" spans="1:6" x14ac:dyDescent="0.25">
      <c r="A51" s="16" t="s">
        <v>47</v>
      </c>
      <c r="B51" s="16"/>
      <c r="C51" s="23">
        <v>1</v>
      </c>
      <c r="D51" s="14">
        <v>118</v>
      </c>
      <c r="E51" s="15">
        <v>38.849999999999994</v>
      </c>
      <c r="F51" s="15">
        <v>0.32900000000000001</v>
      </c>
    </row>
    <row r="52" spans="1:6" x14ac:dyDescent="0.25">
      <c r="A52" s="16" t="s">
        <v>48</v>
      </c>
      <c r="B52" s="16"/>
      <c r="C52" s="23">
        <v>1</v>
      </c>
      <c r="D52" s="14">
        <v>117</v>
      </c>
      <c r="E52" s="15">
        <v>38.5</v>
      </c>
      <c r="F52" s="15">
        <v>0.32900000000000001</v>
      </c>
    </row>
    <row r="53" spans="1:6" x14ac:dyDescent="0.25">
      <c r="A53" s="16" t="s">
        <v>49</v>
      </c>
      <c r="B53" s="16"/>
      <c r="C53" s="23">
        <v>1</v>
      </c>
      <c r="D53" s="14">
        <v>112</v>
      </c>
      <c r="E53" s="15">
        <v>36.700000000000003</v>
      </c>
      <c r="F53" s="15">
        <v>0.32800000000000001</v>
      </c>
    </row>
    <row r="54" spans="1:6" x14ac:dyDescent="0.25">
      <c r="A54" s="16" t="s">
        <v>50</v>
      </c>
      <c r="B54" s="16"/>
      <c r="C54" s="23">
        <v>1</v>
      </c>
      <c r="D54" s="14">
        <v>117</v>
      </c>
      <c r="E54" s="15">
        <v>38.549999999999997</v>
      </c>
      <c r="F54" s="15">
        <v>0.32900000000000001</v>
      </c>
    </row>
    <row r="55" spans="1:6" x14ac:dyDescent="0.25">
      <c r="A55" s="16" t="s">
        <v>51</v>
      </c>
      <c r="B55" s="16"/>
      <c r="C55" s="23">
        <v>1</v>
      </c>
      <c r="D55" s="14">
        <v>116</v>
      </c>
      <c r="E55" s="15">
        <v>38.299999999999997</v>
      </c>
      <c r="F55" s="15">
        <v>0.33</v>
      </c>
    </row>
    <row r="56" spans="1:6" x14ac:dyDescent="0.25">
      <c r="A56" s="16" t="s">
        <v>52</v>
      </c>
      <c r="B56" s="16"/>
      <c r="C56" s="23">
        <v>1</v>
      </c>
      <c r="D56" s="14">
        <v>117</v>
      </c>
      <c r="E56" s="15">
        <v>38.549999999999997</v>
      </c>
      <c r="F56" s="15">
        <v>0.32900000000000001</v>
      </c>
    </row>
    <row r="57" spans="1:6" x14ac:dyDescent="0.25">
      <c r="A57" s="16" t="s">
        <v>53</v>
      </c>
      <c r="B57" s="16"/>
      <c r="C57" s="23">
        <v>1</v>
      </c>
      <c r="D57" s="14">
        <v>115</v>
      </c>
      <c r="E57" s="15">
        <v>38.15</v>
      </c>
      <c r="F57" s="15">
        <v>0.33200000000000002</v>
      </c>
    </row>
    <row r="58" spans="1:6" x14ac:dyDescent="0.25">
      <c r="A58" s="16" t="s">
        <v>54</v>
      </c>
      <c r="B58" s="16"/>
      <c r="C58" s="23">
        <v>1</v>
      </c>
      <c r="D58" s="14">
        <v>190</v>
      </c>
      <c r="E58" s="15">
        <v>62.8</v>
      </c>
      <c r="F58" s="15">
        <v>0.33100000000000002</v>
      </c>
    </row>
    <row r="59" spans="1:6" x14ac:dyDescent="0.25">
      <c r="A59" s="16" t="s">
        <v>55</v>
      </c>
      <c r="B59" s="16"/>
      <c r="C59" s="23">
        <v>1</v>
      </c>
      <c r="D59" s="14">
        <v>120</v>
      </c>
      <c r="E59" s="15">
        <v>39.700000000000003</v>
      </c>
      <c r="F59" s="15">
        <v>0.33100000000000002</v>
      </c>
    </row>
    <row r="60" spans="1:6" x14ac:dyDescent="0.25">
      <c r="A60" s="16" t="s">
        <v>56</v>
      </c>
      <c r="B60" s="16"/>
      <c r="C60" s="23">
        <v>1</v>
      </c>
      <c r="D60" s="14">
        <v>57</v>
      </c>
      <c r="E60" s="15">
        <v>19.05</v>
      </c>
      <c r="F60" s="15">
        <v>0.33400000000000002</v>
      </c>
    </row>
    <row r="61" spans="1:6" x14ac:dyDescent="0.25">
      <c r="A61" s="16" t="s">
        <v>57</v>
      </c>
      <c r="B61" s="16"/>
      <c r="C61" s="23">
        <v>1</v>
      </c>
      <c r="D61" s="14">
        <v>116</v>
      </c>
      <c r="E61" s="15">
        <v>38.299999999999997</v>
      </c>
      <c r="F61" s="15">
        <v>0.33</v>
      </c>
    </row>
    <row r="62" spans="1:6" x14ac:dyDescent="0.25">
      <c r="A62" s="16" t="s">
        <v>58</v>
      </c>
      <c r="B62" s="16"/>
      <c r="C62" s="23">
        <v>1</v>
      </c>
      <c r="D62" s="14">
        <v>116</v>
      </c>
      <c r="E62" s="15">
        <v>38.299999999999997</v>
      </c>
      <c r="F62" s="15">
        <v>0.33</v>
      </c>
    </row>
    <row r="63" spans="1:6" x14ac:dyDescent="0.25">
      <c r="A63" s="16" t="s">
        <v>59</v>
      </c>
      <c r="B63" s="16"/>
      <c r="C63" s="23">
        <v>1</v>
      </c>
      <c r="D63" s="14">
        <v>191</v>
      </c>
      <c r="E63" s="15">
        <v>63.3</v>
      </c>
      <c r="F63" s="15">
        <v>0.33100000000000002</v>
      </c>
    </row>
    <row r="64" spans="1:6" x14ac:dyDescent="0.25">
      <c r="A64" s="16" t="s">
        <v>60</v>
      </c>
      <c r="B64" s="16"/>
      <c r="C64" s="23">
        <v>1</v>
      </c>
      <c r="D64" s="14">
        <v>195</v>
      </c>
      <c r="E64" s="15">
        <v>64.2</v>
      </c>
      <c r="F64" s="15">
        <v>0.32900000000000001</v>
      </c>
    </row>
    <row r="65" spans="1:6" x14ac:dyDescent="0.25">
      <c r="A65" s="16" t="s">
        <v>61</v>
      </c>
      <c r="B65" s="16"/>
      <c r="C65" s="23">
        <v>1</v>
      </c>
      <c r="D65" s="14">
        <v>111</v>
      </c>
      <c r="E65" s="15">
        <v>36.700000000000003</v>
      </c>
      <c r="F65" s="15">
        <v>0.33100000000000002</v>
      </c>
    </row>
    <row r="66" spans="1:6" x14ac:dyDescent="0.25">
      <c r="A66" s="16"/>
      <c r="B66" s="16"/>
      <c r="C66" s="23"/>
      <c r="D66" s="14"/>
      <c r="E66" s="15"/>
      <c r="F66" s="15"/>
    </row>
    <row r="67" spans="1:6" x14ac:dyDescent="0.25">
      <c r="A67" s="18" t="s">
        <v>16</v>
      </c>
      <c r="B67" s="18" t="s">
        <v>17</v>
      </c>
      <c r="C67" s="19">
        <v>44</v>
      </c>
      <c r="D67" s="20">
        <v>5210</v>
      </c>
      <c r="E67" s="21">
        <v>1743.8799999999999</v>
      </c>
      <c r="F67" s="22"/>
    </row>
    <row r="69" spans="1:6" x14ac:dyDescent="0.25">
      <c r="A69" s="24" t="s">
        <v>14</v>
      </c>
      <c r="B69" s="29" t="s">
        <v>62</v>
      </c>
      <c r="C69" s="25"/>
      <c r="D69" s="26"/>
      <c r="E69" s="27"/>
      <c r="F69" s="27"/>
    </row>
    <row r="70" spans="1:6" x14ac:dyDescent="0.25">
      <c r="A70" s="28" t="s">
        <v>63</v>
      </c>
      <c r="B70" s="28"/>
      <c r="C70" s="25">
        <v>1</v>
      </c>
      <c r="D70" s="26">
        <v>64</v>
      </c>
      <c r="E70" s="27">
        <v>20.350000000000001</v>
      </c>
      <c r="F70" s="27">
        <v>0.318</v>
      </c>
    </row>
    <row r="71" spans="1:6" x14ac:dyDescent="0.25">
      <c r="A71" s="28" t="s">
        <v>64</v>
      </c>
      <c r="B71" s="28"/>
      <c r="C71" s="25">
        <v>1</v>
      </c>
      <c r="D71" s="26">
        <v>194</v>
      </c>
      <c r="E71" s="27">
        <v>60.6</v>
      </c>
      <c r="F71" s="27">
        <v>0.312</v>
      </c>
    </row>
    <row r="72" spans="1:6" x14ac:dyDescent="0.25">
      <c r="A72" s="28" t="s">
        <v>65</v>
      </c>
      <c r="B72" s="28"/>
      <c r="C72" s="25">
        <v>1</v>
      </c>
      <c r="D72" s="26">
        <v>192</v>
      </c>
      <c r="E72" s="27">
        <v>59.2</v>
      </c>
      <c r="F72" s="27">
        <v>0.308</v>
      </c>
    </row>
    <row r="73" spans="1:6" x14ac:dyDescent="0.25">
      <c r="A73" s="28" t="s">
        <v>66</v>
      </c>
      <c r="B73" s="28"/>
      <c r="C73" s="25">
        <v>1</v>
      </c>
      <c r="D73" s="26">
        <v>205</v>
      </c>
      <c r="E73" s="27">
        <v>61.7</v>
      </c>
      <c r="F73" s="27">
        <v>0.30099999999999999</v>
      </c>
    </row>
    <row r="74" spans="1:6" x14ac:dyDescent="0.25">
      <c r="A74" s="28" t="s">
        <v>67</v>
      </c>
      <c r="B74" s="28"/>
      <c r="C74" s="25">
        <v>1</v>
      </c>
      <c r="D74" s="26">
        <v>196</v>
      </c>
      <c r="E74" s="27">
        <v>60.6</v>
      </c>
      <c r="F74" s="27">
        <v>0.309</v>
      </c>
    </row>
    <row r="75" spans="1:6" x14ac:dyDescent="0.25">
      <c r="A75" s="28" t="s">
        <v>68</v>
      </c>
      <c r="B75" s="28"/>
      <c r="C75" s="25">
        <v>1</v>
      </c>
      <c r="D75" s="26">
        <v>199</v>
      </c>
      <c r="E75" s="27">
        <v>61.349999999999994</v>
      </c>
      <c r="F75" s="27">
        <v>0.308</v>
      </c>
    </row>
    <row r="76" spans="1:6" x14ac:dyDescent="0.25">
      <c r="A76" s="28" t="s">
        <v>69</v>
      </c>
      <c r="B76" s="28"/>
      <c r="C76" s="25">
        <v>1</v>
      </c>
      <c r="D76" s="26">
        <v>200</v>
      </c>
      <c r="E76" s="27">
        <v>61.4</v>
      </c>
      <c r="F76" s="27">
        <v>0.307</v>
      </c>
    </row>
    <row r="77" spans="1:6" x14ac:dyDescent="0.25">
      <c r="A77" s="28" t="s">
        <v>70</v>
      </c>
      <c r="B77" s="28"/>
      <c r="C77" s="25">
        <v>1</v>
      </c>
      <c r="D77" s="26">
        <v>194</v>
      </c>
      <c r="E77" s="27">
        <v>59.7</v>
      </c>
      <c r="F77" s="27">
        <v>0.308</v>
      </c>
    </row>
    <row r="78" spans="1:6" x14ac:dyDescent="0.25">
      <c r="A78" s="28" t="s">
        <v>71</v>
      </c>
      <c r="B78" s="28"/>
      <c r="C78" s="25">
        <v>1</v>
      </c>
      <c r="D78" s="26">
        <v>193</v>
      </c>
      <c r="E78" s="27">
        <v>59.8</v>
      </c>
      <c r="F78" s="27">
        <v>0.31</v>
      </c>
    </row>
    <row r="79" spans="1:6" x14ac:dyDescent="0.25">
      <c r="A79" s="28" t="s">
        <v>72</v>
      </c>
      <c r="B79" s="28"/>
      <c r="C79" s="25">
        <v>1</v>
      </c>
      <c r="D79" s="26">
        <v>206</v>
      </c>
      <c r="E79" s="27">
        <v>62.55</v>
      </c>
      <c r="F79" s="27">
        <v>0.30399999999999999</v>
      </c>
    </row>
    <row r="80" spans="1:6" x14ac:dyDescent="0.25">
      <c r="A80" s="28" t="s">
        <v>73</v>
      </c>
      <c r="B80" s="28"/>
      <c r="C80" s="25">
        <v>1</v>
      </c>
      <c r="D80" s="26">
        <v>135</v>
      </c>
      <c r="E80" s="27">
        <v>42.1</v>
      </c>
      <c r="F80" s="27">
        <v>0.312</v>
      </c>
    </row>
    <row r="81" spans="1:6" x14ac:dyDescent="0.25">
      <c r="A81" s="28" t="s">
        <v>74</v>
      </c>
      <c r="B81" s="28"/>
      <c r="C81" s="25">
        <v>1</v>
      </c>
      <c r="D81" s="26">
        <v>190</v>
      </c>
      <c r="E81" s="27">
        <v>59.1</v>
      </c>
      <c r="F81" s="27">
        <v>0.311</v>
      </c>
    </row>
    <row r="82" spans="1:6" x14ac:dyDescent="0.25">
      <c r="A82" s="28" t="s">
        <v>75</v>
      </c>
      <c r="B82" s="28"/>
      <c r="C82" s="25">
        <v>1</v>
      </c>
      <c r="D82" s="26">
        <v>198</v>
      </c>
      <c r="E82" s="27">
        <v>60.8</v>
      </c>
      <c r="F82" s="27">
        <v>0.307</v>
      </c>
    </row>
    <row r="83" spans="1:6" x14ac:dyDescent="0.25">
      <c r="A83" s="28" t="s">
        <v>76</v>
      </c>
      <c r="B83" s="28"/>
      <c r="C83" s="25">
        <v>1</v>
      </c>
      <c r="D83" s="26">
        <v>200</v>
      </c>
      <c r="E83" s="27">
        <v>61.7</v>
      </c>
      <c r="F83" s="27">
        <v>0.309</v>
      </c>
    </row>
    <row r="84" spans="1:6" x14ac:dyDescent="0.25">
      <c r="A84" s="28"/>
      <c r="B84" s="28"/>
      <c r="C84" s="25"/>
      <c r="D84" s="26"/>
      <c r="E84" s="27"/>
      <c r="F84" s="27"/>
    </row>
    <row r="85" spans="1:6" x14ac:dyDescent="0.25">
      <c r="A85" s="30" t="s">
        <v>16</v>
      </c>
      <c r="B85" s="30" t="s">
        <v>62</v>
      </c>
      <c r="C85" s="31">
        <v>14</v>
      </c>
      <c r="D85" s="32">
        <v>2566</v>
      </c>
      <c r="E85" s="33">
        <v>790.94999999999993</v>
      </c>
      <c r="F85" s="34"/>
    </row>
    <row r="87" spans="1:6" x14ac:dyDescent="0.25">
      <c r="A87" s="35" t="s">
        <v>14</v>
      </c>
      <c r="B87" s="40" t="s">
        <v>77</v>
      </c>
      <c r="C87" s="36"/>
      <c r="D87" s="37"/>
      <c r="E87" s="38"/>
      <c r="F87" s="38"/>
    </row>
    <row r="88" spans="1:6" x14ac:dyDescent="0.25">
      <c r="A88" s="39" t="s">
        <v>78</v>
      </c>
      <c r="B88" s="39"/>
      <c r="C88" s="36">
        <v>1</v>
      </c>
      <c r="D88" s="37">
        <v>164</v>
      </c>
      <c r="E88" s="38">
        <v>81.8</v>
      </c>
      <c r="F88" s="38">
        <v>0.49900000000000005</v>
      </c>
    </row>
    <row r="89" spans="1:6" x14ac:dyDescent="0.25">
      <c r="A89" s="39" t="s">
        <v>79</v>
      </c>
      <c r="B89" s="39"/>
      <c r="C89" s="36">
        <v>1</v>
      </c>
      <c r="D89" s="37">
        <v>200</v>
      </c>
      <c r="E89" s="38">
        <v>100.45</v>
      </c>
      <c r="F89" s="38">
        <v>0.502</v>
      </c>
    </row>
    <row r="90" spans="1:6" x14ac:dyDescent="0.25">
      <c r="A90" s="39" t="s">
        <v>80</v>
      </c>
      <c r="B90" s="39"/>
      <c r="C90" s="36">
        <v>1</v>
      </c>
      <c r="D90" s="37">
        <v>202</v>
      </c>
      <c r="E90" s="38">
        <v>99.25</v>
      </c>
      <c r="F90" s="38">
        <v>0.49100000000000005</v>
      </c>
    </row>
    <row r="91" spans="1:6" x14ac:dyDescent="0.25">
      <c r="A91" s="39" t="s">
        <v>81</v>
      </c>
      <c r="B91" s="39"/>
      <c r="C91" s="36">
        <v>1</v>
      </c>
      <c r="D91" s="37">
        <v>197</v>
      </c>
      <c r="E91" s="38">
        <v>97.649999999999991</v>
      </c>
      <c r="F91" s="38">
        <v>0.49600000000000005</v>
      </c>
    </row>
    <row r="92" spans="1:6" x14ac:dyDescent="0.25">
      <c r="A92" s="39" t="s">
        <v>82</v>
      </c>
      <c r="B92" s="39"/>
      <c r="C92" s="36">
        <v>1</v>
      </c>
      <c r="D92" s="37">
        <v>189</v>
      </c>
      <c r="E92" s="38">
        <v>95.05</v>
      </c>
      <c r="F92" s="38">
        <v>0.503</v>
      </c>
    </row>
    <row r="93" spans="1:6" x14ac:dyDescent="0.25">
      <c r="A93" s="39" t="s">
        <v>83</v>
      </c>
      <c r="B93" s="39"/>
      <c r="C93" s="36">
        <v>1</v>
      </c>
      <c r="D93" s="37">
        <v>201</v>
      </c>
      <c r="E93" s="38">
        <v>98.35</v>
      </c>
      <c r="F93" s="38">
        <v>0.48900000000000005</v>
      </c>
    </row>
    <row r="94" spans="1:6" x14ac:dyDescent="0.25">
      <c r="A94" s="39" t="s">
        <v>84</v>
      </c>
      <c r="B94" s="39"/>
      <c r="C94" s="36">
        <v>1</v>
      </c>
      <c r="D94" s="37">
        <v>193</v>
      </c>
      <c r="E94" s="38">
        <v>96.05</v>
      </c>
      <c r="F94" s="38">
        <v>0.49800000000000005</v>
      </c>
    </row>
    <row r="95" spans="1:6" x14ac:dyDescent="0.25">
      <c r="A95" s="39" t="s">
        <v>85</v>
      </c>
      <c r="B95" s="39"/>
      <c r="C95" s="36">
        <v>1</v>
      </c>
      <c r="D95" s="37">
        <v>195</v>
      </c>
      <c r="E95" s="38">
        <v>96.95</v>
      </c>
      <c r="F95" s="38">
        <v>0.49700000000000005</v>
      </c>
    </row>
    <row r="96" spans="1:6" x14ac:dyDescent="0.25">
      <c r="A96" s="39" t="s">
        <v>86</v>
      </c>
      <c r="B96" s="39"/>
      <c r="C96" s="36">
        <v>1</v>
      </c>
      <c r="D96" s="37">
        <v>200</v>
      </c>
      <c r="E96" s="38">
        <v>98.95</v>
      </c>
      <c r="F96" s="38">
        <v>0.49500000000000005</v>
      </c>
    </row>
    <row r="97" spans="1:6" x14ac:dyDescent="0.25">
      <c r="A97" s="39" t="s">
        <v>87</v>
      </c>
      <c r="B97" s="39"/>
      <c r="C97" s="36">
        <v>1</v>
      </c>
      <c r="D97" s="37">
        <v>195</v>
      </c>
      <c r="E97" s="38">
        <v>96.7</v>
      </c>
      <c r="F97" s="38">
        <v>0.49600000000000005</v>
      </c>
    </row>
    <row r="98" spans="1:6" x14ac:dyDescent="0.25">
      <c r="A98" s="39" t="s">
        <v>88</v>
      </c>
      <c r="B98" s="39"/>
      <c r="C98" s="36">
        <v>1</v>
      </c>
      <c r="D98" s="37">
        <v>197</v>
      </c>
      <c r="E98" s="38">
        <v>98.3</v>
      </c>
      <c r="F98" s="38">
        <v>0.49900000000000005</v>
      </c>
    </row>
    <row r="99" spans="1:6" x14ac:dyDescent="0.25">
      <c r="A99" s="39" t="s">
        <v>89</v>
      </c>
      <c r="B99" s="39"/>
      <c r="C99" s="36">
        <v>1</v>
      </c>
      <c r="D99" s="37">
        <v>188</v>
      </c>
      <c r="E99" s="38">
        <v>93.7</v>
      </c>
      <c r="F99" s="38">
        <v>0.49800000000000005</v>
      </c>
    </row>
    <row r="100" spans="1:6" x14ac:dyDescent="0.25">
      <c r="A100" s="39" t="s">
        <v>90</v>
      </c>
      <c r="B100" s="39"/>
      <c r="C100" s="36">
        <v>1</v>
      </c>
      <c r="D100" s="37">
        <v>193</v>
      </c>
      <c r="E100" s="38">
        <v>96.6</v>
      </c>
      <c r="F100" s="38">
        <v>0.501</v>
      </c>
    </row>
    <row r="101" spans="1:6" x14ac:dyDescent="0.25">
      <c r="A101" s="39" t="s">
        <v>91</v>
      </c>
      <c r="B101" s="39"/>
      <c r="C101" s="36">
        <v>1</v>
      </c>
      <c r="D101" s="37">
        <v>167</v>
      </c>
      <c r="E101" s="38">
        <v>83.2</v>
      </c>
      <c r="F101" s="38">
        <v>0.49800000000000005</v>
      </c>
    </row>
    <row r="102" spans="1:6" x14ac:dyDescent="0.25">
      <c r="A102" s="39" t="s">
        <v>92</v>
      </c>
      <c r="B102" s="39"/>
      <c r="C102" s="36">
        <v>1</v>
      </c>
      <c r="D102" s="37">
        <v>196</v>
      </c>
      <c r="E102" s="38">
        <v>98.1</v>
      </c>
      <c r="F102" s="38">
        <v>0.501</v>
      </c>
    </row>
    <row r="103" spans="1:6" x14ac:dyDescent="0.25">
      <c r="A103" s="39"/>
      <c r="B103" s="39"/>
      <c r="C103" s="36"/>
      <c r="D103" s="37"/>
      <c r="E103" s="38"/>
      <c r="F103" s="38"/>
    </row>
    <row r="104" spans="1:6" x14ac:dyDescent="0.25">
      <c r="A104" s="41" t="s">
        <v>16</v>
      </c>
      <c r="B104" s="41" t="s">
        <v>77</v>
      </c>
      <c r="C104" s="42">
        <v>15</v>
      </c>
      <c r="D104" s="43">
        <v>2877</v>
      </c>
      <c r="E104" s="44">
        <v>1431.1</v>
      </c>
      <c r="F104" s="45"/>
    </row>
    <row r="106" spans="1:6" x14ac:dyDescent="0.25">
      <c r="A106" s="46" t="s">
        <v>14</v>
      </c>
      <c r="B106" s="51" t="s">
        <v>93</v>
      </c>
      <c r="C106" s="47"/>
      <c r="D106" s="48"/>
      <c r="E106" s="49"/>
      <c r="F106" s="49"/>
    </row>
    <row r="107" spans="1:6" x14ac:dyDescent="0.25">
      <c r="A107" s="50" t="s">
        <v>94</v>
      </c>
      <c r="B107" s="50"/>
      <c r="C107" s="47">
        <v>1</v>
      </c>
      <c r="D107" s="48">
        <v>40</v>
      </c>
      <c r="E107" s="49">
        <v>17.5</v>
      </c>
      <c r="F107" s="49">
        <v>0.43800000000000006</v>
      </c>
    </row>
    <row r="108" spans="1:6" x14ac:dyDescent="0.25">
      <c r="A108" s="50"/>
      <c r="B108" s="50"/>
      <c r="C108" s="47"/>
      <c r="D108" s="48"/>
      <c r="E108" s="49"/>
      <c r="F108" s="49"/>
    </row>
    <row r="109" spans="1:6" x14ac:dyDescent="0.25">
      <c r="A109" s="52" t="s">
        <v>16</v>
      </c>
      <c r="B109" s="52" t="s">
        <v>93</v>
      </c>
      <c r="C109" s="53">
        <v>1</v>
      </c>
      <c r="D109" s="54">
        <v>40</v>
      </c>
      <c r="E109" s="55">
        <v>17.5</v>
      </c>
      <c r="F109" s="56"/>
    </row>
    <row r="111" spans="1:6" x14ac:dyDescent="0.25">
      <c r="A111" s="57" t="s">
        <v>14</v>
      </c>
      <c r="B111" s="62" t="s">
        <v>95</v>
      </c>
      <c r="C111" s="58"/>
      <c r="D111" s="59"/>
      <c r="E111" s="60"/>
      <c r="F111" s="60"/>
    </row>
    <row r="112" spans="1:6" x14ac:dyDescent="0.25">
      <c r="A112" s="61" t="s">
        <v>96</v>
      </c>
      <c r="B112" s="61"/>
      <c r="C112" s="58">
        <v>1</v>
      </c>
      <c r="D112" s="59">
        <v>23</v>
      </c>
      <c r="E112" s="60">
        <v>8.4500000000000011</v>
      </c>
      <c r="F112" s="60">
        <v>0.36699999999999999</v>
      </c>
    </row>
    <row r="113" spans="1:6" x14ac:dyDescent="0.25">
      <c r="A113" s="61"/>
      <c r="B113" s="61"/>
      <c r="C113" s="58"/>
      <c r="D113" s="59"/>
      <c r="E113" s="60"/>
      <c r="F113" s="60"/>
    </row>
    <row r="114" spans="1:6" x14ac:dyDescent="0.25">
      <c r="A114" s="63" t="s">
        <v>16</v>
      </c>
      <c r="B114" s="63" t="s">
        <v>95</v>
      </c>
      <c r="C114" s="64">
        <v>1</v>
      </c>
      <c r="D114" s="65">
        <v>23</v>
      </c>
      <c r="E114" s="66">
        <v>8.4500000000000011</v>
      </c>
      <c r="F114" s="67"/>
    </row>
    <row r="116" spans="1:6" x14ac:dyDescent="0.25">
      <c r="A116" s="68" t="s">
        <v>14</v>
      </c>
      <c r="B116" s="73" t="s">
        <v>97</v>
      </c>
      <c r="C116" s="69"/>
      <c r="D116" s="70"/>
      <c r="E116" s="71"/>
      <c r="F116" s="71"/>
    </row>
    <row r="117" spans="1:6" x14ac:dyDescent="0.25">
      <c r="A117" s="72" t="s">
        <v>98</v>
      </c>
      <c r="B117" s="72"/>
      <c r="C117" s="69">
        <v>1</v>
      </c>
      <c r="D117" s="70">
        <v>210</v>
      </c>
      <c r="E117" s="71">
        <v>95.45</v>
      </c>
      <c r="F117" s="71">
        <v>0.45500000000000002</v>
      </c>
    </row>
    <row r="118" spans="1:6" x14ac:dyDescent="0.25">
      <c r="A118" s="72" t="s">
        <v>99</v>
      </c>
      <c r="B118" s="72"/>
      <c r="C118" s="69">
        <v>1</v>
      </c>
      <c r="D118" s="70">
        <v>107</v>
      </c>
      <c r="E118" s="71">
        <v>48.5</v>
      </c>
      <c r="F118" s="71">
        <v>0.45300000000000001</v>
      </c>
    </row>
    <row r="119" spans="1:6" x14ac:dyDescent="0.25">
      <c r="A119" s="72"/>
      <c r="B119" s="72"/>
      <c r="C119" s="69"/>
      <c r="D119" s="70"/>
      <c r="E119" s="71"/>
      <c r="F119" s="71"/>
    </row>
    <row r="120" spans="1:6" x14ac:dyDescent="0.25">
      <c r="A120" s="74" t="s">
        <v>16</v>
      </c>
      <c r="B120" s="74" t="s">
        <v>97</v>
      </c>
      <c r="C120" s="75">
        <v>2</v>
      </c>
      <c r="D120" s="76">
        <v>317</v>
      </c>
      <c r="E120" s="77">
        <v>143.95000000000002</v>
      </c>
      <c r="F120" s="78"/>
    </row>
    <row r="122" spans="1:6" x14ac:dyDescent="0.25">
      <c r="A122" s="79" t="s">
        <v>14</v>
      </c>
      <c r="B122" s="84" t="s">
        <v>100</v>
      </c>
      <c r="C122" s="80"/>
      <c r="D122" s="81"/>
      <c r="E122" s="82"/>
      <c r="F122" s="82"/>
    </row>
    <row r="123" spans="1:6" x14ac:dyDescent="0.25">
      <c r="A123" s="83" t="s">
        <v>101</v>
      </c>
      <c r="B123" s="83"/>
      <c r="C123" s="80">
        <v>1</v>
      </c>
      <c r="D123" s="81">
        <v>93</v>
      </c>
      <c r="E123" s="82">
        <v>44.3</v>
      </c>
      <c r="F123" s="82">
        <v>0.47600000000000003</v>
      </c>
    </row>
    <row r="124" spans="1:6" x14ac:dyDescent="0.25">
      <c r="A124" s="83" t="s">
        <v>102</v>
      </c>
      <c r="B124" s="83"/>
      <c r="C124" s="80">
        <v>1</v>
      </c>
      <c r="D124" s="81">
        <v>30</v>
      </c>
      <c r="E124" s="82">
        <v>14.450000000000001</v>
      </c>
      <c r="F124" s="82">
        <v>0.48200000000000004</v>
      </c>
    </row>
    <row r="125" spans="1:6" x14ac:dyDescent="0.25">
      <c r="A125" s="83"/>
      <c r="B125" s="83"/>
      <c r="C125" s="80"/>
      <c r="D125" s="81"/>
      <c r="E125" s="82"/>
      <c r="F125" s="82"/>
    </row>
    <row r="126" spans="1:6" x14ac:dyDescent="0.25">
      <c r="A126" s="85" t="s">
        <v>16</v>
      </c>
      <c r="B126" s="85" t="s">
        <v>100</v>
      </c>
      <c r="C126" s="86">
        <v>2</v>
      </c>
      <c r="D126" s="87">
        <v>123</v>
      </c>
      <c r="E126" s="88">
        <v>58.75</v>
      </c>
      <c r="F126" s="89"/>
    </row>
    <row r="128" spans="1:6" x14ac:dyDescent="0.25">
      <c r="A128" s="90" t="s">
        <v>14</v>
      </c>
      <c r="B128" s="95" t="s">
        <v>103</v>
      </c>
      <c r="C128" s="91"/>
      <c r="D128" s="92"/>
      <c r="E128" s="93"/>
      <c r="F128" s="93"/>
    </row>
    <row r="129" spans="1:6" x14ac:dyDescent="0.25">
      <c r="A129" s="94" t="s">
        <v>104</v>
      </c>
      <c r="B129" s="94"/>
      <c r="C129" s="91">
        <v>1</v>
      </c>
      <c r="D129" s="92">
        <v>160</v>
      </c>
      <c r="E129" s="93">
        <v>81.3</v>
      </c>
      <c r="F129" s="93">
        <v>0.50800000000000001</v>
      </c>
    </row>
    <row r="130" spans="1:6" x14ac:dyDescent="0.25">
      <c r="A130" s="94" t="s">
        <v>105</v>
      </c>
      <c r="B130" s="94"/>
      <c r="C130" s="91">
        <v>1</v>
      </c>
      <c r="D130" s="92">
        <v>141</v>
      </c>
      <c r="E130" s="93">
        <v>69.599999999999994</v>
      </c>
      <c r="F130" s="93">
        <v>0.49400000000000005</v>
      </c>
    </row>
    <row r="131" spans="1:6" x14ac:dyDescent="0.25">
      <c r="A131" s="94" t="s">
        <v>106</v>
      </c>
      <c r="B131" s="94"/>
      <c r="C131" s="91">
        <v>1</v>
      </c>
      <c r="D131" s="92">
        <v>109</v>
      </c>
      <c r="E131" s="93">
        <v>54.349999999999994</v>
      </c>
      <c r="F131" s="93">
        <v>0.49900000000000005</v>
      </c>
    </row>
    <row r="132" spans="1:6" x14ac:dyDescent="0.25">
      <c r="A132" s="94"/>
      <c r="B132" s="94"/>
      <c r="C132" s="91"/>
      <c r="D132" s="92"/>
      <c r="E132" s="93"/>
      <c r="F132" s="93"/>
    </row>
    <row r="133" spans="1:6" x14ac:dyDescent="0.25">
      <c r="A133" s="96" t="s">
        <v>16</v>
      </c>
      <c r="B133" s="96" t="s">
        <v>103</v>
      </c>
      <c r="C133" s="97">
        <v>3</v>
      </c>
      <c r="D133" s="98">
        <v>410</v>
      </c>
      <c r="E133" s="99">
        <v>205.25</v>
      </c>
      <c r="F133" s="100"/>
    </row>
    <row r="135" spans="1:6" x14ac:dyDescent="0.25">
      <c r="A135" s="101" t="s">
        <v>14</v>
      </c>
      <c r="B135" s="106" t="s">
        <v>107</v>
      </c>
      <c r="C135" s="102"/>
      <c r="D135" s="103"/>
      <c r="E135" s="104"/>
      <c r="F135" s="104"/>
    </row>
    <row r="136" spans="1:6" x14ac:dyDescent="0.25">
      <c r="A136" s="105" t="s">
        <v>108</v>
      </c>
      <c r="B136" s="105"/>
      <c r="C136" s="102">
        <v>1</v>
      </c>
      <c r="D136" s="103">
        <v>210</v>
      </c>
      <c r="E136" s="104">
        <v>105.45</v>
      </c>
      <c r="F136" s="104">
        <v>0.502</v>
      </c>
    </row>
    <row r="137" spans="1:6" x14ac:dyDescent="0.25">
      <c r="A137" s="105" t="s">
        <v>109</v>
      </c>
      <c r="B137" s="105"/>
      <c r="C137" s="102">
        <v>1</v>
      </c>
      <c r="D137" s="103">
        <v>149</v>
      </c>
      <c r="E137" s="104">
        <v>74.5</v>
      </c>
      <c r="F137" s="104">
        <v>0.5</v>
      </c>
    </row>
    <row r="138" spans="1:6" x14ac:dyDescent="0.25">
      <c r="A138" s="105"/>
      <c r="B138" s="105"/>
      <c r="C138" s="102"/>
      <c r="D138" s="103"/>
      <c r="E138" s="104"/>
      <c r="F138" s="104"/>
    </row>
    <row r="139" spans="1:6" x14ac:dyDescent="0.25">
      <c r="A139" s="107" t="s">
        <v>16</v>
      </c>
      <c r="B139" s="107" t="s">
        <v>107</v>
      </c>
      <c r="C139" s="108">
        <v>2</v>
      </c>
      <c r="D139" s="109">
        <v>359</v>
      </c>
      <c r="E139" s="110">
        <v>179.95000000000002</v>
      </c>
      <c r="F139" s="111"/>
    </row>
    <row r="141" spans="1:6" x14ac:dyDescent="0.25">
      <c r="A141" s="112" t="s">
        <v>14</v>
      </c>
      <c r="B141" s="117" t="s">
        <v>110</v>
      </c>
      <c r="C141" s="113"/>
      <c r="D141" s="114"/>
      <c r="E141" s="115"/>
      <c r="F141" s="115"/>
    </row>
    <row r="142" spans="1:6" x14ac:dyDescent="0.25">
      <c r="A142" s="116" t="s">
        <v>111</v>
      </c>
      <c r="B142" s="116"/>
      <c r="C142" s="113">
        <v>1</v>
      </c>
      <c r="D142" s="114">
        <v>9</v>
      </c>
      <c r="E142" s="115">
        <v>5</v>
      </c>
      <c r="F142" s="115">
        <v>0.55600000000000005</v>
      </c>
    </row>
    <row r="143" spans="1:6" x14ac:dyDescent="0.25">
      <c r="A143" s="116"/>
      <c r="B143" s="116"/>
      <c r="C143" s="113"/>
      <c r="D143" s="114"/>
      <c r="E143" s="115"/>
      <c r="F143" s="115"/>
    </row>
    <row r="144" spans="1:6" x14ac:dyDescent="0.25">
      <c r="A144" s="118" t="s">
        <v>16</v>
      </c>
      <c r="B144" s="118" t="s">
        <v>110</v>
      </c>
      <c r="C144" s="119">
        <v>1</v>
      </c>
      <c r="D144" s="120">
        <v>9</v>
      </c>
      <c r="E144" s="121">
        <v>5</v>
      </c>
      <c r="F144" s="122"/>
    </row>
    <row r="146" spans="1:6" x14ac:dyDescent="0.25">
      <c r="A146" s="123" t="s">
        <v>14</v>
      </c>
      <c r="B146" s="128" t="s">
        <v>112</v>
      </c>
      <c r="C146" s="124"/>
      <c r="D146" s="125"/>
      <c r="E146" s="126"/>
      <c r="F146" s="126"/>
    </row>
    <row r="147" spans="1:6" x14ac:dyDescent="0.25">
      <c r="A147" s="127" t="s">
        <v>113</v>
      </c>
      <c r="B147" s="127"/>
      <c r="C147" s="124">
        <v>1</v>
      </c>
      <c r="D147" s="125">
        <v>185</v>
      </c>
      <c r="E147" s="126">
        <v>99.45</v>
      </c>
      <c r="F147" s="126">
        <v>0.53800000000000003</v>
      </c>
    </row>
    <row r="148" spans="1:6" x14ac:dyDescent="0.25">
      <c r="A148" s="127"/>
      <c r="B148" s="127"/>
      <c r="C148" s="124"/>
      <c r="D148" s="125"/>
      <c r="E148" s="126"/>
      <c r="F148" s="126"/>
    </row>
    <row r="149" spans="1:6" x14ac:dyDescent="0.25">
      <c r="A149" s="129" t="s">
        <v>16</v>
      </c>
      <c r="B149" s="129" t="s">
        <v>112</v>
      </c>
      <c r="C149" s="130">
        <v>1</v>
      </c>
      <c r="D149" s="131">
        <v>185</v>
      </c>
      <c r="E149" s="132">
        <v>99.45</v>
      </c>
      <c r="F149" s="133"/>
    </row>
    <row r="151" spans="1:6" x14ac:dyDescent="0.25">
      <c r="A151" s="134" t="s">
        <v>14</v>
      </c>
      <c r="B151" s="139" t="s">
        <v>114</v>
      </c>
      <c r="C151" s="135"/>
      <c r="D151" s="136"/>
      <c r="E151" s="137"/>
      <c r="F151" s="137"/>
    </row>
    <row r="152" spans="1:6" x14ac:dyDescent="0.25">
      <c r="A152" s="138" t="s">
        <v>115</v>
      </c>
      <c r="B152" s="138"/>
      <c r="C152" s="135">
        <v>1</v>
      </c>
      <c r="D152" s="136">
        <v>198</v>
      </c>
      <c r="E152" s="137">
        <v>111.95</v>
      </c>
      <c r="F152" s="137">
        <v>0.56500000000000006</v>
      </c>
    </row>
    <row r="153" spans="1:6" x14ac:dyDescent="0.25">
      <c r="A153" s="138"/>
      <c r="B153" s="138"/>
      <c r="C153" s="135"/>
      <c r="D153" s="136"/>
      <c r="E153" s="137"/>
      <c r="F153" s="137"/>
    </row>
    <row r="154" spans="1:6" x14ac:dyDescent="0.25">
      <c r="A154" s="140" t="s">
        <v>16</v>
      </c>
      <c r="B154" s="140" t="s">
        <v>114</v>
      </c>
      <c r="C154" s="141">
        <v>1</v>
      </c>
      <c r="D154" s="142">
        <v>198</v>
      </c>
      <c r="E154" s="143">
        <v>111.95</v>
      </c>
      <c r="F154" s="144"/>
    </row>
    <row r="156" spans="1:6" x14ac:dyDescent="0.25">
      <c r="A156" s="145" t="s">
        <v>14</v>
      </c>
      <c r="B156" s="150" t="s">
        <v>116</v>
      </c>
      <c r="C156" s="146"/>
      <c r="D156" s="147"/>
      <c r="E156" s="148"/>
      <c r="F156" s="148"/>
    </row>
    <row r="157" spans="1:6" x14ac:dyDescent="0.25">
      <c r="A157" s="149" t="s">
        <v>117</v>
      </c>
      <c r="B157" s="149"/>
      <c r="C157" s="146">
        <v>1</v>
      </c>
      <c r="D157" s="147">
        <v>329</v>
      </c>
      <c r="E157" s="148">
        <v>116.8</v>
      </c>
      <c r="F157" s="148">
        <v>0.35499999999999998</v>
      </c>
    </row>
    <row r="158" spans="1:6" x14ac:dyDescent="0.25">
      <c r="A158" s="149"/>
      <c r="B158" s="149"/>
      <c r="C158" s="146"/>
      <c r="D158" s="147"/>
      <c r="E158" s="148"/>
      <c r="F158" s="148"/>
    </row>
    <row r="159" spans="1:6" x14ac:dyDescent="0.25">
      <c r="A159" s="151" t="s">
        <v>16</v>
      </c>
      <c r="B159" s="151" t="s">
        <v>116</v>
      </c>
      <c r="C159" s="152">
        <v>1</v>
      </c>
      <c r="D159" s="153">
        <v>329</v>
      </c>
      <c r="E159" s="154">
        <v>116.8</v>
      </c>
      <c r="F159" s="155"/>
    </row>
    <row r="161" spans="1:6" x14ac:dyDescent="0.25">
      <c r="A161" s="156" t="s">
        <v>14</v>
      </c>
      <c r="B161" s="161" t="s">
        <v>118</v>
      </c>
      <c r="C161" s="157"/>
      <c r="D161" s="158"/>
      <c r="E161" s="159"/>
      <c r="F161" s="159"/>
    </row>
    <row r="162" spans="1:6" x14ac:dyDescent="0.25">
      <c r="A162" s="160" t="s">
        <v>119</v>
      </c>
      <c r="B162" s="160"/>
      <c r="C162" s="157">
        <v>1</v>
      </c>
      <c r="D162" s="158">
        <v>122</v>
      </c>
      <c r="E162" s="159">
        <v>59</v>
      </c>
      <c r="F162" s="159">
        <v>0.48400000000000004</v>
      </c>
    </row>
    <row r="163" spans="1:6" x14ac:dyDescent="0.25">
      <c r="A163" s="160" t="s">
        <v>120</v>
      </c>
      <c r="B163" s="160"/>
      <c r="C163" s="157">
        <v>1</v>
      </c>
      <c r="D163" s="158">
        <v>138</v>
      </c>
      <c r="E163" s="159">
        <v>66.649999999999991</v>
      </c>
      <c r="F163" s="159">
        <v>0.48300000000000004</v>
      </c>
    </row>
    <row r="164" spans="1:6" x14ac:dyDescent="0.25">
      <c r="A164" s="160"/>
      <c r="B164" s="160"/>
      <c r="C164" s="157"/>
      <c r="D164" s="158"/>
      <c r="E164" s="159"/>
      <c r="F164" s="159"/>
    </row>
    <row r="165" spans="1:6" x14ac:dyDescent="0.25">
      <c r="A165" s="162" t="s">
        <v>16</v>
      </c>
      <c r="B165" s="162" t="s">
        <v>118</v>
      </c>
      <c r="C165" s="163">
        <v>2</v>
      </c>
      <c r="D165" s="164">
        <v>260</v>
      </c>
      <c r="E165" s="165">
        <v>125.65</v>
      </c>
      <c r="F165" s="166"/>
    </row>
    <row r="166" spans="1:6" x14ac:dyDescent="0.25">
      <c r="A166" s="160"/>
      <c r="B166" s="160"/>
      <c r="C166" s="157"/>
      <c r="D166" s="158"/>
      <c r="E166" s="159"/>
      <c r="F166" s="159"/>
    </row>
    <row r="167" spans="1:6" x14ac:dyDescent="0.25">
      <c r="A167" s="156" t="s">
        <v>14</v>
      </c>
      <c r="B167" s="161" t="s">
        <v>121</v>
      </c>
      <c r="C167" s="157"/>
      <c r="D167" s="158"/>
      <c r="E167" s="159"/>
      <c r="F167" s="159"/>
    </row>
    <row r="168" spans="1:6" x14ac:dyDescent="0.25">
      <c r="A168" s="160" t="s">
        <v>122</v>
      </c>
      <c r="B168" s="160"/>
      <c r="C168" s="157">
        <v>1</v>
      </c>
      <c r="D168" s="158">
        <v>226</v>
      </c>
      <c r="E168" s="159">
        <v>110.55</v>
      </c>
      <c r="F168" s="159">
        <v>0.48900000000000005</v>
      </c>
    </row>
    <row r="169" spans="1:6" x14ac:dyDescent="0.25">
      <c r="A169" s="160" t="s">
        <v>123</v>
      </c>
      <c r="B169" s="160"/>
      <c r="C169" s="157">
        <v>1</v>
      </c>
      <c r="D169" s="158">
        <v>197</v>
      </c>
      <c r="E169" s="159">
        <v>96.3</v>
      </c>
      <c r="F169" s="159">
        <v>0.48900000000000005</v>
      </c>
    </row>
    <row r="170" spans="1:6" x14ac:dyDescent="0.25">
      <c r="A170" s="160"/>
      <c r="B170" s="160"/>
      <c r="C170" s="157"/>
      <c r="D170" s="158"/>
      <c r="E170" s="159"/>
      <c r="F170" s="159"/>
    </row>
    <row r="171" spans="1:6" x14ac:dyDescent="0.25">
      <c r="A171" s="162" t="s">
        <v>16</v>
      </c>
      <c r="B171" s="162" t="s">
        <v>121</v>
      </c>
      <c r="C171" s="163">
        <v>2</v>
      </c>
      <c r="D171" s="164">
        <v>423</v>
      </c>
      <c r="E171" s="165">
        <v>206.85000000000002</v>
      </c>
      <c r="F171" s="166"/>
    </row>
    <row r="172" spans="1:6" x14ac:dyDescent="0.25">
      <c r="A172" s="160"/>
      <c r="B172" s="160"/>
      <c r="C172" s="157"/>
      <c r="D172" s="158"/>
      <c r="E172" s="159"/>
      <c r="F172" s="159"/>
    </row>
    <row r="173" spans="1:6" x14ac:dyDescent="0.25">
      <c r="A173" s="156" t="s">
        <v>14</v>
      </c>
      <c r="B173" s="161" t="s">
        <v>124</v>
      </c>
      <c r="C173" s="157"/>
      <c r="D173" s="158"/>
      <c r="E173" s="159"/>
      <c r="F173" s="159"/>
    </row>
    <row r="174" spans="1:6" x14ac:dyDescent="0.25">
      <c r="A174" s="160" t="s">
        <v>125</v>
      </c>
      <c r="B174" s="160"/>
      <c r="C174" s="157">
        <v>1</v>
      </c>
      <c r="D174" s="158">
        <v>41</v>
      </c>
      <c r="E174" s="159">
        <v>21.35</v>
      </c>
      <c r="F174" s="159">
        <v>0.52100000000000002</v>
      </c>
    </row>
    <row r="175" spans="1:6" x14ac:dyDescent="0.25">
      <c r="A175" s="160"/>
      <c r="B175" s="160"/>
      <c r="C175" s="157"/>
      <c r="D175" s="158"/>
      <c r="E175" s="159"/>
      <c r="F175" s="159"/>
    </row>
    <row r="176" spans="1:6" x14ac:dyDescent="0.25">
      <c r="A176" s="162" t="s">
        <v>16</v>
      </c>
      <c r="B176" s="162" t="s">
        <v>124</v>
      </c>
      <c r="C176" s="163">
        <v>1</v>
      </c>
      <c r="D176" s="164">
        <v>41</v>
      </c>
      <c r="E176" s="165">
        <v>21.35</v>
      </c>
      <c r="F176" s="166"/>
    </row>
    <row r="178" spans="1:6" x14ac:dyDescent="0.25">
      <c r="A178" s="167" t="s">
        <v>14</v>
      </c>
      <c r="B178" s="172" t="s">
        <v>126</v>
      </c>
      <c r="C178" s="168"/>
      <c r="D178" s="169"/>
      <c r="E178" s="170"/>
      <c r="F178" s="170"/>
    </row>
    <row r="179" spans="1:6" x14ac:dyDescent="0.25">
      <c r="A179" s="171" t="s">
        <v>127</v>
      </c>
      <c r="B179" s="171"/>
      <c r="C179" s="168">
        <v>1</v>
      </c>
      <c r="D179" s="169">
        <v>250</v>
      </c>
      <c r="E179" s="170">
        <v>119.7</v>
      </c>
      <c r="F179" s="170">
        <v>0.47900000000000004</v>
      </c>
    </row>
    <row r="180" spans="1:6" x14ac:dyDescent="0.25">
      <c r="A180" s="171" t="s">
        <v>128</v>
      </c>
      <c r="B180" s="171"/>
      <c r="C180" s="168">
        <v>1</v>
      </c>
      <c r="D180" s="169">
        <v>247</v>
      </c>
      <c r="E180" s="170">
        <v>118.95</v>
      </c>
      <c r="F180" s="170">
        <v>0.48200000000000004</v>
      </c>
    </row>
    <row r="181" spans="1:6" x14ac:dyDescent="0.25">
      <c r="A181" s="171" t="s">
        <v>129</v>
      </c>
      <c r="B181" s="171"/>
      <c r="C181" s="168">
        <v>1</v>
      </c>
      <c r="D181" s="169">
        <v>219</v>
      </c>
      <c r="E181" s="170">
        <v>105.95</v>
      </c>
      <c r="F181" s="170">
        <v>0.48400000000000004</v>
      </c>
    </row>
    <row r="182" spans="1:6" x14ac:dyDescent="0.25">
      <c r="A182" s="171" t="s">
        <v>130</v>
      </c>
      <c r="B182" s="171"/>
      <c r="C182" s="168">
        <v>1</v>
      </c>
      <c r="D182" s="169">
        <v>190</v>
      </c>
      <c r="E182" s="170">
        <v>90.9</v>
      </c>
      <c r="F182" s="170">
        <v>0.47800000000000004</v>
      </c>
    </row>
    <row r="183" spans="1:6" x14ac:dyDescent="0.25">
      <c r="A183" s="171" t="s">
        <v>131</v>
      </c>
      <c r="B183" s="171"/>
      <c r="C183" s="168">
        <v>1</v>
      </c>
      <c r="D183" s="169">
        <v>171</v>
      </c>
      <c r="E183" s="170">
        <v>81.400000000000006</v>
      </c>
      <c r="F183" s="170">
        <v>0.47600000000000003</v>
      </c>
    </row>
    <row r="184" spans="1:6" x14ac:dyDescent="0.25">
      <c r="A184" s="171"/>
      <c r="B184" s="171"/>
      <c r="C184" s="168"/>
      <c r="D184" s="169"/>
      <c r="E184" s="170"/>
      <c r="F184" s="170"/>
    </row>
    <row r="185" spans="1:6" x14ac:dyDescent="0.25">
      <c r="A185" s="173" t="s">
        <v>16</v>
      </c>
      <c r="B185" s="173" t="s">
        <v>126</v>
      </c>
      <c r="C185" s="174">
        <v>5</v>
      </c>
      <c r="D185" s="175">
        <v>1077</v>
      </c>
      <c r="E185" s="176">
        <v>516.9</v>
      </c>
      <c r="F185" s="177"/>
    </row>
    <row r="186" spans="1:6" x14ac:dyDescent="0.25">
      <c r="A186" s="171"/>
      <c r="B186" s="171"/>
      <c r="C186" s="168"/>
      <c r="D186" s="169"/>
      <c r="E186" s="170"/>
      <c r="F186" s="170"/>
    </row>
    <row r="187" spans="1:6" x14ac:dyDescent="0.25">
      <c r="A187" s="167"/>
      <c r="B187" s="172"/>
      <c r="C187" s="168"/>
      <c r="D187" s="169"/>
      <c r="E187" s="170"/>
      <c r="F187" s="170"/>
    </row>
    <row r="188" spans="1:6" x14ac:dyDescent="0.25">
      <c r="A188" s="171"/>
      <c r="B188" s="171"/>
      <c r="C188" s="168"/>
      <c r="D188" s="169"/>
      <c r="E188" s="170"/>
      <c r="F188" s="170"/>
    </row>
    <row r="189" spans="1:6" x14ac:dyDescent="0.25">
      <c r="A189" s="171"/>
      <c r="B189" s="171"/>
      <c r="C189" s="168"/>
      <c r="D189" s="169"/>
      <c r="E189" s="170"/>
      <c r="F189" s="170"/>
    </row>
    <row r="190" spans="1:6" x14ac:dyDescent="0.25">
      <c r="A190" s="171"/>
      <c r="B190" s="171"/>
      <c r="C190" s="168"/>
      <c r="D190" s="169"/>
      <c r="E190" s="170"/>
      <c r="F190" s="170"/>
    </row>
    <row r="191" spans="1:6" x14ac:dyDescent="0.25">
      <c r="A191" s="173"/>
      <c r="B191" s="173"/>
      <c r="C191" s="174"/>
      <c r="D191" s="175"/>
      <c r="E191" s="176"/>
      <c r="F191" s="177"/>
    </row>
    <row r="192" spans="1:6" x14ac:dyDescent="0.25">
      <c r="A192" s="171"/>
      <c r="B192" s="171"/>
      <c r="C192" s="168"/>
      <c r="D192" s="169"/>
      <c r="E192" s="170"/>
      <c r="F192" s="170"/>
    </row>
    <row r="193" spans="1:6" x14ac:dyDescent="0.25">
      <c r="A193" s="167" t="s">
        <v>14</v>
      </c>
      <c r="B193" s="172" t="s">
        <v>132</v>
      </c>
      <c r="C193" s="168"/>
      <c r="D193" s="169"/>
      <c r="E193" s="170"/>
      <c r="F193" s="170"/>
    </row>
    <row r="194" spans="1:6" x14ac:dyDescent="0.25">
      <c r="A194" s="171" t="s">
        <v>133</v>
      </c>
      <c r="B194" s="171"/>
      <c r="C194" s="168">
        <v>1</v>
      </c>
      <c r="D194" s="169">
        <v>194</v>
      </c>
      <c r="E194" s="170">
        <v>97.5</v>
      </c>
      <c r="F194" s="170">
        <v>0.503</v>
      </c>
    </row>
    <row r="195" spans="1:6" x14ac:dyDescent="0.25">
      <c r="A195" s="171" t="s">
        <v>134</v>
      </c>
      <c r="B195" s="171"/>
      <c r="C195" s="168">
        <v>1</v>
      </c>
      <c r="D195" s="169">
        <v>189</v>
      </c>
      <c r="E195" s="170">
        <v>95.3</v>
      </c>
      <c r="F195" s="170">
        <v>0.504</v>
      </c>
    </row>
    <row r="196" spans="1:6" x14ac:dyDescent="0.25">
      <c r="A196" s="171"/>
      <c r="B196" s="171"/>
      <c r="C196" s="168"/>
      <c r="D196" s="169"/>
      <c r="E196" s="170"/>
      <c r="F196" s="170"/>
    </row>
    <row r="197" spans="1:6" x14ac:dyDescent="0.25">
      <c r="A197" s="173" t="s">
        <v>16</v>
      </c>
      <c r="B197" s="173" t="s">
        <v>132</v>
      </c>
      <c r="C197" s="174">
        <v>2</v>
      </c>
      <c r="D197" s="175">
        <v>383</v>
      </c>
      <c r="E197" s="176">
        <v>192.8</v>
      </c>
      <c r="F197" s="177"/>
    </row>
    <row r="198" spans="1:6" x14ac:dyDescent="0.25">
      <c r="A198" s="171"/>
      <c r="B198" s="171"/>
      <c r="C198" s="168"/>
      <c r="D198" s="169"/>
      <c r="E198" s="170"/>
      <c r="F198" s="170"/>
    </row>
    <row r="199" spans="1:6" x14ac:dyDescent="0.25">
      <c r="A199" s="167" t="s">
        <v>14</v>
      </c>
      <c r="B199" s="172" t="s">
        <v>135</v>
      </c>
      <c r="C199" s="168"/>
      <c r="D199" s="169"/>
      <c r="E199" s="170"/>
      <c r="F199" s="170"/>
    </row>
    <row r="200" spans="1:6" x14ac:dyDescent="0.25">
      <c r="A200" s="171" t="s">
        <v>136</v>
      </c>
      <c r="B200" s="171"/>
      <c r="C200" s="168">
        <v>1</v>
      </c>
      <c r="D200" s="169">
        <v>165</v>
      </c>
      <c r="E200" s="170">
        <v>82.55</v>
      </c>
      <c r="F200" s="170">
        <v>0.5</v>
      </c>
    </row>
    <row r="201" spans="1:6" x14ac:dyDescent="0.25">
      <c r="A201" s="171" t="s">
        <v>137</v>
      </c>
      <c r="B201" s="171"/>
      <c r="C201" s="168">
        <v>1</v>
      </c>
      <c r="D201" s="169">
        <v>59</v>
      </c>
      <c r="E201" s="170">
        <v>30.85</v>
      </c>
      <c r="F201" s="170">
        <v>0.52300000000000002</v>
      </c>
    </row>
    <row r="202" spans="1:6" x14ac:dyDescent="0.25">
      <c r="A202" s="171"/>
      <c r="B202" s="171"/>
      <c r="C202" s="168"/>
      <c r="D202" s="169"/>
      <c r="E202" s="170"/>
      <c r="F202" s="170"/>
    </row>
    <row r="203" spans="1:6" x14ac:dyDescent="0.25">
      <c r="A203" s="173" t="s">
        <v>16</v>
      </c>
      <c r="B203" s="173" t="s">
        <v>135</v>
      </c>
      <c r="C203" s="174">
        <v>2</v>
      </c>
      <c r="D203" s="175">
        <v>224</v>
      </c>
      <c r="E203" s="176">
        <v>113.4</v>
      </c>
      <c r="F203" s="177"/>
    </row>
    <row r="205" spans="1:6" x14ac:dyDescent="0.25">
      <c r="A205" s="178" t="s">
        <v>14</v>
      </c>
      <c r="B205" s="183" t="s">
        <v>138</v>
      </c>
      <c r="C205" s="179"/>
      <c r="D205" s="180"/>
      <c r="E205" s="181"/>
      <c r="F205" s="181"/>
    </row>
    <row r="206" spans="1:6" x14ac:dyDescent="0.25">
      <c r="A206" s="182" t="s">
        <v>139</v>
      </c>
      <c r="B206" s="182"/>
      <c r="C206" s="179">
        <v>1</v>
      </c>
      <c r="D206" s="180">
        <v>162</v>
      </c>
      <c r="E206" s="181">
        <v>83.7</v>
      </c>
      <c r="F206" s="181">
        <v>0.51700000000000002</v>
      </c>
    </row>
    <row r="207" spans="1:6" x14ac:dyDescent="0.25">
      <c r="A207" s="182" t="s">
        <v>140</v>
      </c>
      <c r="B207" s="182"/>
      <c r="C207" s="179">
        <v>1</v>
      </c>
      <c r="D207" s="180">
        <v>123</v>
      </c>
      <c r="E207" s="181">
        <v>63.25</v>
      </c>
      <c r="F207" s="181">
        <v>0.51400000000000001</v>
      </c>
    </row>
    <row r="208" spans="1:6" x14ac:dyDescent="0.25">
      <c r="A208" s="182" t="s">
        <v>141</v>
      </c>
      <c r="B208" s="182"/>
      <c r="C208" s="179">
        <v>1</v>
      </c>
      <c r="D208" s="180">
        <v>207</v>
      </c>
      <c r="E208" s="181">
        <v>105.8</v>
      </c>
      <c r="F208" s="181">
        <v>0.51100000000000001</v>
      </c>
    </row>
    <row r="209" spans="1:6" x14ac:dyDescent="0.25">
      <c r="A209" s="182"/>
      <c r="B209" s="182"/>
      <c r="C209" s="179"/>
      <c r="D209" s="180"/>
      <c r="E209" s="181"/>
      <c r="F209" s="181"/>
    </row>
    <row r="210" spans="1:6" x14ac:dyDescent="0.25">
      <c r="A210" s="184" t="s">
        <v>16</v>
      </c>
      <c r="B210" s="184" t="s">
        <v>138</v>
      </c>
      <c r="C210" s="185">
        <v>3</v>
      </c>
      <c r="D210" s="186">
        <v>492</v>
      </c>
      <c r="E210" s="187">
        <v>252.75</v>
      </c>
      <c r="F210" s="188"/>
    </row>
    <row r="212" spans="1:6" x14ac:dyDescent="0.25">
      <c r="A212" s="189" t="s">
        <v>14</v>
      </c>
      <c r="B212" s="194" t="s">
        <v>142</v>
      </c>
      <c r="C212" s="190"/>
      <c r="D212" s="191"/>
      <c r="E212" s="192"/>
      <c r="F212" s="192"/>
    </row>
    <row r="213" spans="1:6" x14ac:dyDescent="0.25">
      <c r="A213" s="193" t="s">
        <v>143</v>
      </c>
      <c r="B213" s="193"/>
      <c r="C213" s="190">
        <v>1</v>
      </c>
      <c r="D213" s="191">
        <v>175</v>
      </c>
      <c r="E213" s="192">
        <v>84.9</v>
      </c>
      <c r="F213" s="192">
        <v>0.48500000000000004</v>
      </c>
    </row>
    <row r="214" spans="1:6" x14ac:dyDescent="0.25">
      <c r="A214" s="193"/>
      <c r="B214" s="193"/>
      <c r="C214" s="190"/>
      <c r="D214" s="191"/>
      <c r="E214" s="192"/>
      <c r="F214" s="192"/>
    </row>
    <row r="215" spans="1:6" x14ac:dyDescent="0.25">
      <c r="A215" s="195" t="s">
        <v>16</v>
      </c>
      <c r="B215" s="195" t="s">
        <v>142</v>
      </c>
      <c r="C215" s="196">
        <v>1</v>
      </c>
      <c r="D215" s="197">
        <v>175</v>
      </c>
      <c r="E215" s="198">
        <v>84.9</v>
      </c>
      <c r="F215" s="199"/>
    </row>
    <row r="216" spans="1:6" x14ac:dyDescent="0.25">
      <c r="A216" s="193"/>
      <c r="B216" s="193"/>
      <c r="C216" s="190"/>
      <c r="D216" s="191"/>
      <c r="E216" s="192"/>
      <c r="F216" s="192"/>
    </row>
    <row r="217" spans="1:6" x14ac:dyDescent="0.25">
      <c r="A217" s="189" t="s">
        <v>14</v>
      </c>
      <c r="B217" s="194" t="s">
        <v>144</v>
      </c>
      <c r="C217" s="190"/>
      <c r="D217" s="191"/>
      <c r="E217" s="192"/>
      <c r="F217" s="192"/>
    </row>
    <row r="218" spans="1:6" x14ac:dyDescent="0.25">
      <c r="A218" s="193" t="s">
        <v>145</v>
      </c>
      <c r="B218" s="193"/>
      <c r="C218" s="190">
        <v>1</v>
      </c>
      <c r="D218" s="191">
        <v>249</v>
      </c>
      <c r="E218" s="192">
        <v>125.4</v>
      </c>
      <c r="F218" s="192">
        <v>0.504</v>
      </c>
    </row>
    <row r="219" spans="1:6" x14ac:dyDescent="0.25">
      <c r="A219" s="193"/>
      <c r="B219" s="193"/>
      <c r="C219" s="190"/>
      <c r="D219" s="191"/>
      <c r="E219" s="192"/>
      <c r="F219" s="192"/>
    </row>
    <row r="220" spans="1:6" x14ac:dyDescent="0.25">
      <c r="A220" s="195" t="s">
        <v>16</v>
      </c>
      <c r="B220" s="195" t="s">
        <v>144</v>
      </c>
      <c r="C220" s="196">
        <v>1</v>
      </c>
      <c r="D220" s="197">
        <v>249</v>
      </c>
      <c r="E220" s="198">
        <v>125.4</v>
      </c>
      <c r="F220" s="199"/>
    </row>
    <row r="221" spans="1:6" x14ac:dyDescent="0.25">
      <c r="A221" s="193"/>
      <c r="B221" s="193"/>
      <c r="C221" s="190"/>
      <c r="D221" s="191"/>
      <c r="E221" s="192"/>
      <c r="F221" s="192"/>
    </row>
    <row r="222" spans="1:6" x14ac:dyDescent="0.25">
      <c r="A222" s="189" t="s">
        <v>14</v>
      </c>
      <c r="B222" s="194" t="s">
        <v>146</v>
      </c>
      <c r="C222" s="190"/>
      <c r="D222" s="191"/>
      <c r="E222" s="192"/>
      <c r="F222" s="192"/>
    </row>
    <row r="223" spans="1:6" x14ac:dyDescent="0.25">
      <c r="A223" s="193" t="s">
        <v>147</v>
      </c>
      <c r="B223" s="193"/>
      <c r="C223" s="190">
        <v>1</v>
      </c>
      <c r="D223" s="191">
        <v>203</v>
      </c>
      <c r="E223" s="192">
        <v>100.7</v>
      </c>
      <c r="F223" s="192">
        <v>0.49600000000000005</v>
      </c>
    </row>
    <row r="224" spans="1:6" x14ac:dyDescent="0.25">
      <c r="A224" s="193" t="s">
        <v>148</v>
      </c>
      <c r="B224" s="193"/>
      <c r="C224" s="190">
        <v>1</v>
      </c>
      <c r="D224" s="191">
        <v>39</v>
      </c>
      <c r="E224" s="192">
        <v>19.7</v>
      </c>
      <c r="F224" s="192">
        <v>0.505</v>
      </c>
    </row>
    <row r="225" spans="1:6" x14ac:dyDescent="0.25">
      <c r="A225" s="193"/>
      <c r="B225" s="193"/>
      <c r="C225" s="190"/>
      <c r="D225" s="191"/>
      <c r="E225" s="192"/>
      <c r="F225" s="192"/>
    </row>
    <row r="226" spans="1:6" x14ac:dyDescent="0.25">
      <c r="A226" s="195" t="s">
        <v>16</v>
      </c>
      <c r="B226" s="195" t="s">
        <v>146</v>
      </c>
      <c r="C226" s="196">
        <v>2</v>
      </c>
      <c r="D226" s="197">
        <v>242</v>
      </c>
      <c r="E226" s="198">
        <v>120.4</v>
      </c>
      <c r="F226" s="199"/>
    </row>
    <row r="227" spans="1:6" x14ac:dyDescent="0.25">
      <c r="A227" s="193"/>
      <c r="B227" s="193"/>
      <c r="C227" s="190"/>
      <c r="D227" s="191"/>
      <c r="E227" s="192"/>
      <c r="F227" s="192"/>
    </row>
    <row r="228" spans="1:6" x14ac:dyDescent="0.25">
      <c r="A228" s="189" t="s">
        <v>14</v>
      </c>
      <c r="B228" s="194" t="s">
        <v>149</v>
      </c>
      <c r="C228" s="190"/>
      <c r="D228" s="191"/>
      <c r="E228" s="192"/>
      <c r="F228" s="192"/>
    </row>
    <row r="229" spans="1:6" x14ac:dyDescent="0.25">
      <c r="A229" s="193" t="s">
        <v>150</v>
      </c>
      <c r="B229" s="193"/>
      <c r="C229" s="190">
        <v>1</v>
      </c>
      <c r="D229" s="191">
        <v>212</v>
      </c>
      <c r="E229" s="192">
        <v>108.75</v>
      </c>
      <c r="F229" s="192">
        <v>0.51300000000000001</v>
      </c>
    </row>
    <row r="230" spans="1:6" x14ac:dyDescent="0.25">
      <c r="A230" s="193" t="s">
        <v>151</v>
      </c>
      <c r="B230" s="193"/>
      <c r="C230" s="190">
        <v>1</v>
      </c>
      <c r="D230" s="191">
        <v>297</v>
      </c>
      <c r="E230" s="192">
        <v>152.95000000000002</v>
      </c>
      <c r="F230" s="192">
        <v>0.51500000000000001</v>
      </c>
    </row>
    <row r="231" spans="1:6" x14ac:dyDescent="0.25">
      <c r="A231" s="193" t="s">
        <v>152</v>
      </c>
      <c r="B231" s="193"/>
      <c r="C231" s="190">
        <v>1</v>
      </c>
      <c r="D231" s="191">
        <v>137</v>
      </c>
      <c r="E231" s="192">
        <v>71</v>
      </c>
      <c r="F231" s="192">
        <v>0.51800000000000002</v>
      </c>
    </row>
    <row r="232" spans="1:6" x14ac:dyDescent="0.25">
      <c r="A232" s="193" t="s">
        <v>153</v>
      </c>
      <c r="B232" s="193"/>
      <c r="C232" s="190">
        <v>1</v>
      </c>
      <c r="D232" s="191">
        <v>170</v>
      </c>
      <c r="E232" s="192">
        <v>87.5</v>
      </c>
      <c r="F232" s="192">
        <v>0.51500000000000001</v>
      </c>
    </row>
    <row r="233" spans="1:6" x14ac:dyDescent="0.25">
      <c r="A233" s="193"/>
      <c r="B233" s="193"/>
      <c r="C233" s="190"/>
      <c r="D233" s="191"/>
      <c r="E233" s="192"/>
      <c r="F233" s="192"/>
    </row>
    <row r="234" spans="1:6" x14ac:dyDescent="0.25">
      <c r="A234" s="195" t="s">
        <v>16</v>
      </c>
      <c r="B234" s="195" t="s">
        <v>149</v>
      </c>
      <c r="C234" s="196">
        <v>4</v>
      </c>
      <c r="D234" s="197">
        <v>816</v>
      </c>
      <c r="E234" s="198">
        <v>420.2</v>
      </c>
      <c r="F234" s="199"/>
    </row>
    <row r="236" spans="1:6" x14ac:dyDescent="0.25">
      <c r="A236" s="200" t="s">
        <v>14</v>
      </c>
      <c r="B236" s="205" t="s">
        <v>154</v>
      </c>
      <c r="C236" s="201"/>
      <c r="D236" s="202"/>
      <c r="E236" s="203"/>
      <c r="F236" s="203"/>
    </row>
    <row r="237" spans="1:6" x14ac:dyDescent="0.25">
      <c r="A237" s="204" t="s">
        <v>155</v>
      </c>
      <c r="B237" s="204"/>
      <c r="C237" s="201">
        <v>1</v>
      </c>
      <c r="D237" s="202">
        <v>192</v>
      </c>
      <c r="E237" s="203">
        <v>86.5</v>
      </c>
      <c r="F237" s="203">
        <v>0.45100000000000001</v>
      </c>
    </row>
    <row r="238" spans="1:6" x14ac:dyDescent="0.25">
      <c r="A238" s="204" t="s">
        <v>156</v>
      </c>
      <c r="B238" s="204"/>
      <c r="C238" s="201">
        <v>1</v>
      </c>
      <c r="D238" s="202">
        <v>120</v>
      </c>
      <c r="E238" s="203">
        <v>54.3</v>
      </c>
      <c r="F238" s="203">
        <v>0.45300000000000001</v>
      </c>
    </row>
    <row r="239" spans="1:6" x14ac:dyDescent="0.25">
      <c r="A239" s="204" t="s">
        <v>157</v>
      </c>
      <c r="B239" s="204"/>
      <c r="C239" s="201">
        <v>1</v>
      </c>
      <c r="D239" s="202">
        <v>197</v>
      </c>
      <c r="E239" s="203">
        <v>91.7</v>
      </c>
      <c r="F239" s="203">
        <v>0.46500000000000002</v>
      </c>
    </row>
    <row r="240" spans="1:6" x14ac:dyDescent="0.25">
      <c r="A240" s="204" t="s">
        <v>158</v>
      </c>
      <c r="B240" s="204"/>
      <c r="C240" s="201">
        <v>1</v>
      </c>
      <c r="D240" s="202">
        <v>129</v>
      </c>
      <c r="E240" s="203">
        <v>59.55</v>
      </c>
      <c r="F240" s="203">
        <v>0.46200000000000002</v>
      </c>
    </row>
    <row r="241" spans="1:6" x14ac:dyDescent="0.25">
      <c r="A241" s="204" t="s">
        <v>159</v>
      </c>
      <c r="B241" s="204"/>
      <c r="C241" s="201">
        <v>1</v>
      </c>
      <c r="D241" s="202">
        <v>208</v>
      </c>
      <c r="E241" s="203">
        <v>95.3</v>
      </c>
      <c r="F241" s="203">
        <v>0.45800000000000002</v>
      </c>
    </row>
    <row r="242" spans="1:6" x14ac:dyDescent="0.25">
      <c r="A242" s="204" t="s">
        <v>160</v>
      </c>
      <c r="B242" s="204"/>
      <c r="C242" s="201">
        <v>1</v>
      </c>
      <c r="D242" s="202">
        <v>210</v>
      </c>
      <c r="E242" s="203">
        <v>95.149999999999991</v>
      </c>
      <c r="F242" s="203">
        <v>0.45300000000000001</v>
      </c>
    </row>
    <row r="243" spans="1:6" x14ac:dyDescent="0.25">
      <c r="A243" s="204" t="s">
        <v>161</v>
      </c>
      <c r="B243" s="204"/>
      <c r="C243" s="201">
        <v>1</v>
      </c>
      <c r="D243" s="202">
        <v>199</v>
      </c>
      <c r="E243" s="203">
        <v>91.9</v>
      </c>
      <c r="F243" s="203">
        <v>0.46200000000000002</v>
      </c>
    </row>
    <row r="244" spans="1:6" x14ac:dyDescent="0.25">
      <c r="A244" s="204" t="s">
        <v>162</v>
      </c>
      <c r="B244" s="204"/>
      <c r="C244" s="201">
        <v>1</v>
      </c>
      <c r="D244" s="202">
        <v>194</v>
      </c>
      <c r="E244" s="203">
        <v>89.25</v>
      </c>
      <c r="F244" s="203">
        <v>0.46</v>
      </c>
    </row>
    <row r="245" spans="1:6" x14ac:dyDescent="0.25">
      <c r="A245" s="204" t="s">
        <v>163</v>
      </c>
      <c r="B245" s="204"/>
      <c r="C245" s="201">
        <v>1</v>
      </c>
      <c r="D245" s="202">
        <v>199</v>
      </c>
      <c r="E245" s="203">
        <v>91.85</v>
      </c>
      <c r="F245" s="203">
        <v>0.46200000000000002</v>
      </c>
    </row>
    <row r="246" spans="1:6" x14ac:dyDescent="0.25">
      <c r="A246" s="204" t="s">
        <v>164</v>
      </c>
      <c r="B246" s="204"/>
      <c r="C246" s="201">
        <v>1</v>
      </c>
      <c r="D246" s="202">
        <v>197</v>
      </c>
      <c r="E246" s="203">
        <v>90</v>
      </c>
      <c r="F246" s="203">
        <v>0.45700000000000002</v>
      </c>
    </row>
    <row r="247" spans="1:6" x14ac:dyDescent="0.25">
      <c r="A247" s="204" t="s">
        <v>165</v>
      </c>
      <c r="B247" s="204"/>
      <c r="C247" s="201">
        <v>1</v>
      </c>
      <c r="D247" s="202">
        <v>208</v>
      </c>
      <c r="E247" s="203">
        <v>94</v>
      </c>
      <c r="F247" s="203">
        <v>0.45200000000000001</v>
      </c>
    </row>
    <row r="248" spans="1:6" x14ac:dyDescent="0.25">
      <c r="A248" s="204" t="s">
        <v>166</v>
      </c>
      <c r="B248" s="204"/>
      <c r="C248" s="201">
        <v>1</v>
      </c>
      <c r="D248" s="202">
        <v>199</v>
      </c>
      <c r="E248" s="203">
        <v>91.5</v>
      </c>
      <c r="F248" s="203">
        <v>0.46</v>
      </c>
    </row>
    <row r="249" spans="1:6" x14ac:dyDescent="0.25">
      <c r="A249" s="204" t="s">
        <v>167</v>
      </c>
      <c r="B249" s="204"/>
      <c r="C249" s="201">
        <v>1</v>
      </c>
      <c r="D249" s="202">
        <v>207</v>
      </c>
      <c r="E249" s="203">
        <v>94.3</v>
      </c>
      <c r="F249" s="203">
        <v>0.45600000000000002</v>
      </c>
    </row>
    <row r="250" spans="1:6" x14ac:dyDescent="0.25">
      <c r="A250" s="204" t="s">
        <v>168</v>
      </c>
      <c r="B250" s="204"/>
      <c r="C250" s="201">
        <v>1</v>
      </c>
      <c r="D250" s="202">
        <v>200</v>
      </c>
      <c r="E250" s="203">
        <v>92.4</v>
      </c>
      <c r="F250" s="203">
        <v>0.46200000000000002</v>
      </c>
    </row>
    <row r="251" spans="1:6" x14ac:dyDescent="0.25">
      <c r="A251" s="204" t="s">
        <v>169</v>
      </c>
      <c r="B251" s="204"/>
      <c r="C251" s="201">
        <v>1</v>
      </c>
      <c r="D251" s="202">
        <v>132</v>
      </c>
      <c r="E251" s="203">
        <v>60.1</v>
      </c>
      <c r="F251" s="203">
        <v>0.45500000000000002</v>
      </c>
    </row>
    <row r="252" spans="1:6" x14ac:dyDescent="0.25">
      <c r="A252" s="204" t="s">
        <v>170</v>
      </c>
      <c r="B252" s="204"/>
      <c r="C252" s="201">
        <v>1</v>
      </c>
      <c r="D252" s="202">
        <v>195</v>
      </c>
      <c r="E252" s="203">
        <v>89.5</v>
      </c>
      <c r="F252" s="203">
        <v>0.45900000000000002</v>
      </c>
    </row>
    <row r="253" spans="1:6" x14ac:dyDescent="0.25">
      <c r="A253" s="204" t="s">
        <v>171</v>
      </c>
      <c r="B253" s="204"/>
      <c r="C253" s="201">
        <v>1</v>
      </c>
      <c r="D253" s="202">
        <v>197</v>
      </c>
      <c r="E253" s="203">
        <v>90</v>
      </c>
      <c r="F253" s="203">
        <v>0.45700000000000002</v>
      </c>
    </row>
    <row r="254" spans="1:6" x14ac:dyDescent="0.25">
      <c r="A254" s="204" t="s">
        <v>172</v>
      </c>
      <c r="B254" s="204"/>
      <c r="C254" s="201">
        <v>1</v>
      </c>
      <c r="D254" s="202">
        <v>78</v>
      </c>
      <c r="E254" s="203">
        <v>36</v>
      </c>
      <c r="F254" s="203">
        <v>0.46200000000000002</v>
      </c>
    </row>
    <row r="255" spans="1:6" x14ac:dyDescent="0.25">
      <c r="A255" s="204" t="s">
        <v>173</v>
      </c>
      <c r="B255" s="204"/>
      <c r="C255" s="201">
        <v>1</v>
      </c>
      <c r="D255" s="202">
        <v>211</v>
      </c>
      <c r="E255" s="203">
        <v>95</v>
      </c>
      <c r="F255" s="203">
        <v>0.45</v>
      </c>
    </row>
    <row r="256" spans="1:6" x14ac:dyDescent="0.25">
      <c r="A256" s="204" t="s">
        <v>174</v>
      </c>
      <c r="B256" s="204"/>
      <c r="C256" s="201">
        <v>1</v>
      </c>
      <c r="D256" s="202">
        <v>186</v>
      </c>
      <c r="E256" s="203">
        <v>84.95</v>
      </c>
      <c r="F256" s="203">
        <v>0.45700000000000002</v>
      </c>
    </row>
    <row r="257" spans="1:6" x14ac:dyDescent="0.25">
      <c r="A257" s="204" t="s">
        <v>175</v>
      </c>
      <c r="B257" s="204"/>
      <c r="C257" s="201">
        <v>1</v>
      </c>
      <c r="D257" s="202">
        <v>223</v>
      </c>
      <c r="E257" s="203">
        <v>101.7</v>
      </c>
      <c r="F257" s="203">
        <v>0.45600000000000002</v>
      </c>
    </row>
    <row r="258" spans="1:6" x14ac:dyDescent="0.25">
      <c r="A258" s="204" t="s">
        <v>176</v>
      </c>
      <c r="B258" s="204"/>
      <c r="C258" s="201">
        <v>1</v>
      </c>
      <c r="D258" s="202">
        <v>176</v>
      </c>
      <c r="E258" s="203">
        <v>80.3</v>
      </c>
      <c r="F258" s="203">
        <v>0.45600000000000002</v>
      </c>
    </row>
    <row r="259" spans="1:6" x14ac:dyDescent="0.25">
      <c r="A259" s="204" t="s">
        <v>177</v>
      </c>
      <c r="B259" s="204"/>
      <c r="C259" s="201">
        <v>1</v>
      </c>
      <c r="D259" s="202">
        <v>123</v>
      </c>
      <c r="E259" s="203">
        <v>55.9</v>
      </c>
      <c r="F259" s="203">
        <v>0.45400000000000001</v>
      </c>
    </row>
    <row r="260" spans="1:6" x14ac:dyDescent="0.25">
      <c r="A260" s="204">
        <v>80410</v>
      </c>
      <c r="B260" s="204"/>
      <c r="C260" s="201">
        <v>1</v>
      </c>
      <c r="D260" s="202">
        <v>128</v>
      </c>
      <c r="E260" s="203">
        <v>57.4</v>
      </c>
      <c r="F260" s="203">
        <v>0.44800000000000001</v>
      </c>
    </row>
    <row r="261" spans="1:6" x14ac:dyDescent="0.25">
      <c r="A261" s="204" t="s">
        <v>178</v>
      </c>
      <c r="B261" s="204"/>
      <c r="C261" s="201">
        <v>1</v>
      </c>
      <c r="D261" s="202">
        <v>155</v>
      </c>
      <c r="E261" s="203">
        <v>70.5</v>
      </c>
      <c r="F261" s="203">
        <v>0.45500000000000002</v>
      </c>
    </row>
    <row r="262" spans="1:6" x14ac:dyDescent="0.25">
      <c r="A262" s="204" t="s">
        <v>179</v>
      </c>
      <c r="B262" s="204"/>
      <c r="C262" s="201">
        <v>1</v>
      </c>
      <c r="D262" s="202">
        <v>146</v>
      </c>
      <c r="E262" s="203">
        <v>65.2</v>
      </c>
      <c r="F262" s="203">
        <v>0.44700000000000001</v>
      </c>
    </row>
    <row r="263" spans="1:6" x14ac:dyDescent="0.25">
      <c r="A263" s="204" t="s">
        <v>180</v>
      </c>
      <c r="B263" s="204"/>
      <c r="C263" s="201">
        <v>1</v>
      </c>
      <c r="D263" s="202">
        <v>204</v>
      </c>
      <c r="E263" s="203">
        <v>93</v>
      </c>
      <c r="F263" s="203">
        <v>0.45600000000000002</v>
      </c>
    </row>
    <row r="264" spans="1:6" x14ac:dyDescent="0.25">
      <c r="A264" s="204" t="s">
        <v>181</v>
      </c>
      <c r="B264" s="204"/>
      <c r="C264" s="201">
        <v>1</v>
      </c>
      <c r="D264" s="202">
        <v>141</v>
      </c>
      <c r="E264" s="203">
        <v>63.3</v>
      </c>
      <c r="F264" s="203">
        <v>0.44900000000000001</v>
      </c>
    </row>
    <row r="265" spans="1:6" x14ac:dyDescent="0.25">
      <c r="A265" s="204" t="s">
        <v>182</v>
      </c>
      <c r="B265" s="204"/>
      <c r="C265" s="201">
        <v>1</v>
      </c>
      <c r="D265" s="202">
        <v>178</v>
      </c>
      <c r="E265" s="203">
        <v>79.599999999999994</v>
      </c>
      <c r="F265" s="203">
        <v>0.44700000000000001</v>
      </c>
    </row>
    <row r="266" spans="1:6" x14ac:dyDescent="0.25">
      <c r="A266" s="204" t="s">
        <v>183</v>
      </c>
      <c r="B266" s="204"/>
      <c r="C266" s="201">
        <v>1</v>
      </c>
      <c r="D266" s="202">
        <v>130</v>
      </c>
      <c r="E266" s="203">
        <v>58.6</v>
      </c>
      <c r="F266" s="203">
        <v>0.45100000000000001</v>
      </c>
    </row>
    <row r="267" spans="1:6" x14ac:dyDescent="0.25">
      <c r="A267" s="204"/>
      <c r="B267" s="204"/>
      <c r="C267" s="201"/>
      <c r="D267" s="202"/>
      <c r="E267" s="203"/>
      <c r="F267" s="203"/>
    </row>
    <row r="268" spans="1:6" x14ac:dyDescent="0.25">
      <c r="A268" s="206" t="s">
        <v>16</v>
      </c>
      <c r="B268" s="206" t="s">
        <v>154</v>
      </c>
      <c r="C268" s="207">
        <v>30</v>
      </c>
      <c r="D268" s="208">
        <v>5262</v>
      </c>
      <c r="E268" s="209">
        <v>2398.75</v>
      </c>
      <c r="F268" s="2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2026-03-26T09:59:45Z</dcterms:created>
  <dcterms:modified xsi:type="dcterms:W3CDTF">2026-03-26T10:51:03Z</dcterms:modified>
</cp:coreProperties>
</file>