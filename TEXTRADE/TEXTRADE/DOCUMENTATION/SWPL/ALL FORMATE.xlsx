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GREY STOCK" sheetId="1" r:id="rId1"/>
    <sheet name="SHIFT" sheetId="5" r:id="rId2"/>
    <sheet name="ORDER DETAILS" sheetId="7" r:id="rId3"/>
    <sheet name="BEAM STOCK" sheetId="2" r:id="rId4"/>
    <sheet name="YARN STOCK" sheetId="3" r:id="rId5"/>
    <sheet name="FIRE BOTTEL REPORT" sheetId="4" r:id="rId6"/>
    <sheet name="SAMPLE SYSTEM" sheetId="6" r:id="rId7"/>
  </sheets>
  <calcPr calcId="145621"/>
</workbook>
</file>

<file path=xl/calcChain.xml><?xml version="1.0" encoding="utf-8"?>
<calcChain xmlns="http://schemas.openxmlformats.org/spreadsheetml/2006/main">
  <c r="F73" i="2" l="1"/>
  <c r="F72" i="2"/>
  <c r="F71" i="2"/>
  <c r="F70" i="2"/>
  <c r="F69" i="2"/>
  <c r="F74" i="2" s="1"/>
  <c r="B69" i="2"/>
  <c r="F41" i="2"/>
  <c r="F40" i="2"/>
  <c r="F39" i="2"/>
  <c r="F38" i="2"/>
  <c r="C38" i="2"/>
  <c r="F37" i="2"/>
  <c r="F36" i="2"/>
  <c r="F42" i="2" s="1"/>
  <c r="B36" i="2"/>
  <c r="D234" i="3" l="1"/>
  <c r="E233" i="3"/>
  <c r="E232" i="3"/>
  <c r="E231" i="3"/>
  <c r="E230" i="3"/>
  <c r="E229" i="3"/>
  <c r="E228" i="3"/>
  <c r="E227" i="3"/>
  <c r="E226" i="3"/>
  <c r="C226" i="3"/>
  <c r="C234" i="3" s="1"/>
  <c r="E234" i="3" s="1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C203" i="3"/>
  <c r="E203" i="3" s="1"/>
  <c r="E202" i="3"/>
  <c r="E201" i="3"/>
  <c r="E200" i="3"/>
  <c r="E199" i="3"/>
  <c r="E198" i="3"/>
  <c r="E197" i="3"/>
  <c r="E196" i="3"/>
  <c r="E195" i="3"/>
  <c r="E194" i="3"/>
  <c r="E193" i="3"/>
  <c r="E192" i="3"/>
  <c r="E191" i="3"/>
  <c r="D191" i="3"/>
  <c r="E190" i="3"/>
  <c r="E189" i="3"/>
  <c r="E188" i="3"/>
  <c r="E187" i="3"/>
  <c r="E186" i="3"/>
  <c r="E185" i="3"/>
  <c r="E184" i="3"/>
  <c r="E183" i="3"/>
  <c r="E182" i="3"/>
  <c r="D181" i="3"/>
  <c r="D203" i="3" s="1"/>
  <c r="E180" i="3"/>
  <c r="C174" i="3"/>
  <c r="E173" i="3"/>
  <c r="E172" i="3"/>
  <c r="E171" i="3"/>
  <c r="E170" i="3"/>
  <c r="E169" i="3"/>
  <c r="E168" i="3"/>
  <c r="D167" i="3"/>
  <c r="E167" i="3" s="1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D152" i="3"/>
  <c r="E152" i="3" s="1"/>
  <c r="E151" i="3"/>
  <c r="E150" i="3"/>
  <c r="E149" i="3"/>
  <c r="D148" i="3"/>
  <c r="E148" i="3" s="1"/>
  <c r="E147" i="3"/>
  <c r="E146" i="3"/>
  <c r="D145" i="3"/>
  <c r="E144" i="3"/>
  <c r="F88" i="3"/>
  <c r="F89" i="3"/>
  <c r="F90" i="3"/>
  <c r="F91" i="3"/>
  <c r="F92" i="3"/>
  <c r="F93" i="3"/>
  <c r="F94" i="3"/>
  <c r="F95" i="3"/>
  <c r="F87" i="3"/>
  <c r="E96" i="3"/>
  <c r="F76" i="3"/>
  <c r="F77" i="3"/>
  <c r="F78" i="3"/>
  <c r="F79" i="3"/>
  <c r="F80" i="3"/>
  <c r="F75" i="3"/>
  <c r="E81" i="3"/>
  <c r="D137" i="3"/>
  <c r="D128" i="3"/>
  <c r="C128" i="3"/>
  <c r="C126" i="3"/>
  <c r="C123" i="3"/>
  <c r="D121" i="3"/>
  <c r="D114" i="3"/>
  <c r="D138" i="3" s="1"/>
  <c r="E106" i="3"/>
  <c r="D106" i="3"/>
  <c r="F105" i="3"/>
  <c r="F104" i="3"/>
  <c r="F103" i="3"/>
  <c r="F102" i="3"/>
  <c r="A100" i="3"/>
  <c r="A85" i="3"/>
  <c r="A73" i="3"/>
  <c r="E68" i="3"/>
  <c r="D68" i="3"/>
  <c r="E67" i="3"/>
  <c r="D67" i="3"/>
  <c r="D66" i="3"/>
  <c r="F66" i="3" s="1"/>
  <c r="F65" i="3"/>
  <c r="F64" i="3"/>
  <c r="E63" i="3"/>
  <c r="F63" i="3" s="1"/>
  <c r="F62" i="3"/>
  <c r="E61" i="3"/>
  <c r="F61" i="3" s="1"/>
  <c r="E60" i="3"/>
  <c r="D60" i="3"/>
  <c r="F59" i="3"/>
  <c r="E58" i="3"/>
  <c r="F58" i="3" s="1"/>
  <c r="E57" i="3"/>
  <c r="F57" i="3" s="1"/>
  <c r="E56" i="3"/>
  <c r="F56" i="3" s="1"/>
  <c r="E55" i="3"/>
  <c r="F55" i="3" s="1"/>
  <c r="E54" i="3"/>
  <c r="F53" i="3"/>
  <c r="E52" i="3"/>
  <c r="D52" i="3"/>
  <c r="F51" i="3"/>
  <c r="G41" i="3"/>
  <c r="G40" i="3"/>
  <c r="F39" i="3"/>
  <c r="G39" i="3" s="1"/>
  <c r="G38" i="3"/>
  <c r="F37" i="3"/>
  <c r="G37" i="3" s="1"/>
  <c r="G36" i="3"/>
  <c r="G35" i="3"/>
  <c r="G34" i="3"/>
  <c r="G33" i="3"/>
  <c r="F31" i="3"/>
  <c r="G31" i="3" s="1"/>
  <c r="F30" i="3"/>
  <c r="G30" i="3" s="1"/>
  <c r="G28" i="3"/>
  <c r="F27" i="3"/>
  <c r="G27" i="3" s="1"/>
  <c r="G26" i="3"/>
  <c r="G24" i="3"/>
  <c r="G23" i="3"/>
  <c r="G22" i="3"/>
  <c r="G21" i="3"/>
  <c r="F20" i="3"/>
  <c r="E20" i="3"/>
  <c r="E42" i="3" s="1"/>
  <c r="G19" i="3"/>
  <c r="G17" i="3"/>
  <c r="G16" i="3"/>
  <c r="G15" i="3"/>
  <c r="F14" i="3"/>
  <c r="G14" i="3" s="1"/>
  <c r="F13" i="3"/>
  <c r="G13" i="3" s="1"/>
  <c r="G12" i="3"/>
  <c r="F11" i="3"/>
  <c r="E11" i="3"/>
  <c r="F10" i="3"/>
  <c r="G10" i="3" s="1"/>
  <c r="G8" i="3"/>
  <c r="F7" i="3"/>
  <c r="F42" i="3" s="1"/>
  <c r="E7" i="3"/>
  <c r="G6" i="3"/>
  <c r="G5" i="3"/>
  <c r="G4" i="3"/>
  <c r="L86" i="1"/>
  <c r="F86" i="1"/>
  <c r="N88" i="1" s="1"/>
  <c r="N82" i="1"/>
  <c r="M82" i="1"/>
  <c r="N81" i="1"/>
  <c r="M81" i="1"/>
  <c r="H81" i="1"/>
  <c r="G81" i="1"/>
  <c r="N79" i="1"/>
  <c r="M79" i="1"/>
  <c r="N78" i="1"/>
  <c r="M78" i="1"/>
  <c r="H78" i="1"/>
  <c r="G78" i="1"/>
  <c r="M76" i="1"/>
  <c r="H76" i="1"/>
  <c r="G76" i="1"/>
  <c r="N75" i="1"/>
  <c r="M75" i="1"/>
  <c r="H73" i="1"/>
  <c r="G73" i="1"/>
  <c r="N70" i="1"/>
  <c r="M70" i="1"/>
  <c r="H70" i="1"/>
  <c r="G70" i="1"/>
  <c r="N69" i="1"/>
  <c r="M69" i="1"/>
  <c r="N68" i="1"/>
  <c r="M68" i="1"/>
  <c r="H68" i="1"/>
  <c r="G68" i="1"/>
  <c r="N66" i="1"/>
  <c r="M66" i="1"/>
  <c r="G66" i="1"/>
  <c r="N64" i="1"/>
  <c r="M64" i="1"/>
  <c r="H64" i="1"/>
  <c r="G64" i="1"/>
  <c r="N63" i="1"/>
  <c r="M63" i="1"/>
  <c r="M62" i="1"/>
  <c r="G62" i="1"/>
  <c r="N61" i="1"/>
  <c r="M61" i="1"/>
  <c r="M59" i="1"/>
  <c r="N58" i="1"/>
  <c r="M58" i="1"/>
  <c r="G58" i="1"/>
  <c r="N57" i="1"/>
  <c r="M57" i="1"/>
  <c r="N56" i="1"/>
  <c r="M56" i="1"/>
  <c r="H56" i="1"/>
  <c r="G56" i="1"/>
  <c r="M55" i="1"/>
  <c r="H54" i="1"/>
  <c r="M53" i="1"/>
  <c r="H52" i="1"/>
  <c r="N51" i="1"/>
  <c r="M51" i="1"/>
  <c r="H51" i="1"/>
  <c r="G51" i="1"/>
  <c r="N50" i="1"/>
  <c r="M50" i="1"/>
  <c r="H50" i="1"/>
  <c r="G50" i="1"/>
  <c r="G49" i="1"/>
  <c r="N48" i="1"/>
  <c r="M48" i="1"/>
  <c r="G47" i="1"/>
  <c r="M46" i="1"/>
  <c r="G45" i="1"/>
  <c r="M44" i="1"/>
  <c r="G43" i="1"/>
  <c r="M42" i="1"/>
  <c r="G42" i="1"/>
  <c r="L41" i="1"/>
  <c r="J41" i="1"/>
  <c r="G41" i="1"/>
  <c r="F41" i="1"/>
  <c r="D41" i="1"/>
  <c r="C40" i="1"/>
  <c r="L36" i="1"/>
  <c r="F36" i="1"/>
  <c r="D88" i="1" s="1"/>
  <c r="H34" i="1"/>
  <c r="G34" i="1"/>
  <c r="N32" i="1"/>
  <c r="M32" i="1"/>
  <c r="H32" i="1"/>
  <c r="G32" i="1"/>
  <c r="N31" i="1"/>
  <c r="M31" i="1"/>
  <c r="H31" i="1"/>
  <c r="G31" i="1"/>
  <c r="H30" i="1"/>
  <c r="G30" i="1"/>
  <c r="N29" i="1"/>
  <c r="M29" i="1"/>
  <c r="H29" i="1"/>
  <c r="G29" i="1"/>
  <c r="N28" i="1"/>
  <c r="M28" i="1"/>
  <c r="N27" i="1"/>
  <c r="M27" i="1"/>
  <c r="H27" i="1"/>
  <c r="G27" i="1"/>
  <c r="N26" i="1"/>
  <c r="M26" i="1"/>
  <c r="H26" i="1"/>
  <c r="G26" i="1"/>
  <c r="N25" i="1"/>
  <c r="M25" i="1"/>
  <c r="N24" i="1"/>
  <c r="M24" i="1"/>
  <c r="N23" i="1"/>
  <c r="M23" i="1"/>
  <c r="G23" i="1"/>
  <c r="M21" i="1"/>
  <c r="H21" i="1"/>
  <c r="G21" i="1"/>
  <c r="G19" i="1"/>
  <c r="M18" i="1"/>
  <c r="G18" i="1"/>
  <c r="M16" i="1"/>
  <c r="G14" i="1"/>
  <c r="G12" i="1"/>
  <c r="G10" i="1"/>
  <c r="M8" i="1"/>
  <c r="M6" i="1"/>
  <c r="G6" i="1"/>
  <c r="G5" i="1"/>
  <c r="M4" i="1"/>
  <c r="G4" i="1"/>
  <c r="E181" i="3" l="1"/>
  <c r="G7" i="3"/>
  <c r="D174" i="3"/>
  <c r="E174" i="3" s="1"/>
  <c r="F68" i="3"/>
  <c r="E145" i="3"/>
  <c r="G42" i="3"/>
  <c r="F52" i="3"/>
  <c r="F81" i="3"/>
  <c r="G20" i="3"/>
  <c r="E69" i="3"/>
  <c r="F67" i="3"/>
  <c r="D69" i="3"/>
  <c r="F96" i="3"/>
  <c r="F106" i="3"/>
  <c r="G11" i="3"/>
  <c r="C138" i="3"/>
  <c r="F54" i="3"/>
  <c r="F60" i="3"/>
  <c r="M36" i="1"/>
  <c r="G86" i="1"/>
  <c r="M86" i="1"/>
  <c r="G36" i="1"/>
  <c r="I88" i="1"/>
  <c r="F69" i="3" l="1"/>
  <c r="D87" i="1"/>
  <c r="N87" i="1"/>
  <c r="N93" i="1" s="1"/>
  <c r="C93" i="1" l="1"/>
  <c r="I87" i="1"/>
  <c r="I93" i="1" l="1"/>
  <c r="I89" i="1"/>
</calcChain>
</file>

<file path=xl/sharedStrings.xml><?xml version="1.0" encoding="utf-8"?>
<sst xmlns="http://schemas.openxmlformats.org/spreadsheetml/2006/main" count="1187" uniqueCount="462">
  <si>
    <t>SIDDHACHAKRA WEAVING PVT.LTD.(SWPL-1)</t>
  </si>
  <si>
    <t>GREY STOCK ON DATE:- 04-12-2024</t>
  </si>
  <si>
    <t xml:space="preserve">SORT.NO </t>
  </si>
  <si>
    <t>ORDER NO.</t>
  </si>
  <si>
    <t>REEF NO.</t>
  </si>
  <si>
    <t>ORDER  MTR</t>
  </si>
  <si>
    <t>MTR.</t>
  </si>
  <si>
    <t>AVG.WT.</t>
  </si>
  <si>
    <t>9230260 (BLACK LEGEND)</t>
  </si>
  <si>
    <t>-</t>
  </si>
  <si>
    <t>9230261 (BLACK LEGEND)</t>
  </si>
  <si>
    <t>9230263 (BLACK LEGEND)</t>
  </si>
  <si>
    <t xml:space="preserve">` </t>
  </si>
  <si>
    <t>930703 (M.TWILL)</t>
  </si>
  <si>
    <t>9240629(1326-96)-79''</t>
  </si>
  <si>
    <t>1326-96</t>
  </si>
  <si>
    <t>930961 (M.T.)-74.5"</t>
  </si>
  <si>
    <t>930643 (H.M.TWILL)</t>
  </si>
  <si>
    <t>940163 -79"</t>
  </si>
  <si>
    <t>12000-6250</t>
  </si>
  <si>
    <t>9240400 (1025-A)</t>
  </si>
  <si>
    <t>9240232 (T.BLUE)</t>
  </si>
  <si>
    <t>9240401 (1025-A)</t>
  </si>
  <si>
    <t>930782(M.T.BLACK)</t>
  </si>
  <si>
    <t>930783(M.T.BLACK)</t>
  </si>
  <si>
    <t>WHITE</t>
  </si>
  <si>
    <t>BLACK</t>
  </si>
  <si>
    <t>458+462</t>
  </si>
  <si>
    <t>SIDDHACHAKRA WEAVING PVT.LTD.(SWPL-2)</t>
  </si>
  <si>
    <t>9240619 (97902 / 450.Dty.) -79</t>
  </si>
  <si>
    <t>20000-26291</t>
  </si>
  <si>
    <t>9240618 (97902 / 450.Dty.) -79</t>
  </si>
  <si>
    <t>15000-11717</t>
  </si>
  <si>
    <t>9240649 (1296)-79'</t>
  </si>
  <si>
    <t>399+407+432</t>
  </si>
  <si>
    <t>5500+5500+5500-14968</t>
  </si>
  <si>
    <t>367+375</t>
  </si>
  <si>
    <t>10000-5151</t>
  </si>
  <si>
    <t>440+455</t>
  </si>
  <si>
    <t>11000-5187</t>
  </si>
  <si>
    <t>3350-3651</t>
  </si>
  <si>
    <t>3900-4107</t>
  </si>
  <si>
    <r>
      <t>940226</t>
    </r>
    <r>
      <rPr>
        <b/>
        <sz val="28"/>
        <color theme="1"/>
        <rFont val="Algerian"/>
        <family val="5"/>
      </rPr>
      <t xml:space="preserve"> (WHITE)</t>
    </r>
  </si>
  <si>
    <t>4000-2136</t>
  </si>
  <si>
    <t>4000-3189</t>
  </si>
  <si>
    <t>940227 (BLACK)</t>
  </si>
  <si>
    <t>4000-2068</t>
  </si>
  <si>
    <t>1000-1034</t>
  </si>
  <si>
    <t>21 well codroy</t>
  </si>
  <si>
    <t>NEW</t>
  </si>
  <si>
    <t>6000-1399</t>
  </si>
  <si>
    <t>6000-2108</t>
  </si>
  <si>
    <t>SWPL -1 MTRS -&gt;</t>
  </si>
  <si>
    <t>SWPL - 1 &amp; 2  TOTAL  MTRS.  -&gt;</t>
  </si>
  <si>
    <t>SWPL -2 MTRS -&gt;</t>
  </si>
  <si>
    <t>SWPL -1 ORDER MTRS -&gt;</t>
  </si>
  <si>
    <t>SWPL - 1 &amp; 2  TOTAL ORDER MTRS.  -&gt;</t>
  </si>
  <si>
    <t>SWPL -2 ORDER MTRS -&gt;</t>
  </si>
  <si>
    <t>SWPL - 1 &amp; 2 LEFT ORDER MTRS.  -&gt;</t>
  </si>
  <si>
    <t xml:space="preserve">  </t>
  </si>
  <si>
    <t>Siddhachakra Weaving Pvt. Ltd.</t>
  </si>
  <si>
    <t>YARN STOCK SWPL-1&amp;2</t>
  </si>
  <si>
    <t>COTTON &amp; LYCRA &amp; SLUB</t>
  </si>
  <si>
    <t>PRODUCT</t>
  </si>
  <si>
    <t>SHADE</t>
  </si>
  <si>
    <t>OP.STOCK-1</t>
  </si>
  <si>
    <t>OP.STOCK-2</t>
  </si>
  <si>
    <t>DATE</t>
  </si>
  <si>
    <t>INWARD-2</t>
  </si>
  <si>
    <t>INWARD-1</t>
  </si>
  <si>
    <t>TOTAL STOCK</t>
  </si>
  <si>
    <t>10 SLUB LYC 70D</t>
  </si>
  <si>
    <t>10 LYC 70D</t>
  </si>
  <si>
    <t>10 LYC 40D</t>
  </si>
  <si>
    <t>10 COTTON OE</t>
  </si>
  <si>
    <t>10 SLUB WHITE skd</t>
  </si>
  <si>
    <t>16 SLUB LYC 70D</t>
  </si>
  <si>
    <t>16 LYC 70D</t>
  </si>
  <si>
    <t>16 LYC 40D</t>
  </si>
  <si>
    <t>16 COTTON OE</t>
  </si>
  <si>
    <t>16 COTTON SLUB</t>
  </si>
  <si>
    <t>16 COTTON CCW</t>
  </si>
  <si>
    <t>16 SLUB LYC 40D</t>
  </si>
  <si>
    <t>16 POLY LYC 70D</t>
  </si>
  <si>
    <t>20 SLUB LYC 70D</t>
  </si>
  <si>
    <t>20 LYC 70D</t>
  </si>
  <si>
    <t>20 LYC 40D</t>
  </si>
  <si>
    <t>20 COTTON OE</t>
  </si>
  <si>
    <t>20 COM….. CCW</t>
  </si>
  <si>
    <t>20 VISCOSE</t>
  </si>
  <si>
    <t>30 SLUB LYC 70D</t>
  </si>
  <si>
    <t>30 LYC 70D</t>
  </si>
  <si>
    <t>30 LYC 40D</t>
  </si>
  <si>
    <t>8 FATTY SLUB</t>
  </si>
  <si>
    <t>8 RAJA SLUB</t>
  </si>
  <si>
    <t>2/30 spn  WHITE</t>
  </si>
  <si>
    <t>2/30 P.V. BLACK</t>
  </si>
  <si>
    <t>2/20 SPN WHITE</t>
  </si>
  <si>
    <t>220/97 LYC BLACK</t>
  </si>
  <si>
    <t xml:space="preserve">12 MICON COTTON </t>
  </si>
  <si>
    <t>12 SLUB LYC 70D</t>
  </si>
  <si>
    <t>12 LYC MICON</t>
  </si>
  <si>
    <t>360 HSP LYC WHITE</t>
  </si>
  <si>
    <t>360/97 LYC BLACK</t>
  </si>
  <si>
    <t>TOTAL</t>
  </si>
  <si>
    <t>YARN STOCK SWPL-1&amp;2  240 ATY   HEMLON</t>
  </si>
  <si>
    <t>DATE-04/12/2024</t>
  </si>
  <si>
    <t>COLOUR</t>
  </si>
  <si>
    <t>INWARD</t>
  </si>
  <si>
    <t>OP STOCK-1</t>
  </si>
  <si>
    <t>OP STOCK-2</t>
  </si>
  <si>
    <t>BEIGE</t>
  </si>
  <si>
    <t>OLIYE</t>
  </si>
  <si>
    <t>BLUE</t>
  </si>
  <si>
    <t>GREY</t>
  </si>
  <si>
    <t>BROWN</t>
  </si>
  <si>
    <t>L.T.BROWN</t>
  </si>
  <si>
    <t>D.GREEN</t>
  </si>
  <si>
    <t>G.BLUE</t>
  </si>
  <si>
    <t>STELL GREY</t>
  </si>
  <si>
    <t>C.BROWN</t>
  </si>
  <si>
    <t>RD.LT.BEIGE</t>
  </si>
  <si>
    <t>NAVY</t>
  </si>
  <si>
    <t>YARN STOCK SWPL-2 675 ATY HEMLON</t>
  </si>
  <si>
    <t>INWORD</t>
  </si>
  <si>
    <t>OPENING STOCK</t>
  </si>
  <si>
    <t>ISSUE</t>
  </si>
  <si>
    <t>YARN STOCK SWPL-2 600 HIM</t>
  </si>
  <si>
    <t>WHITE DTY</t>
  </si>
  <si>
    <t>SOFINE</t>
  </si>
  <si>
    <t>GD-95</t>
  </si>
  <si>
    <t>GD-97</t>
  </si>
  <si>
    <t>GD-99</t>
  </si>
  <si>
    <t>GD-6093</t>
  </si>
  <si>
    <t>GD-60105</t>
  </si>
  <si>
    <t>GD-91</t>
  </si>
  <si>
    <t>GD-103</t>
  </si>
  <si>
    <t>GD-104</t>
  </si>
  <si>
    <t>YARN STOCK SWPL-2 damolino</t>
  </si>
  <si>
    <t xml:space="preserve">12s cotton </t>
  </si>
  <si>
    <t>beige</t>
  </si>
  <si>
    <t>c.broun</t>
  </si>
  <si>
    <t>black</t>
  </si>
  <si>
    <t>2-/20</t>
  </si>
  <si>
    <t>navy</t>
  </si>
  <si>
    <t>YARN STOCK SWPL-1&amp;2  330 ATY</t>
  </si>
  <si>
    <t xml:space="preserve">DATE </t>
  </si>
  <si>
    <t>D EATIH</t>
  </si>
  <si>
    <t>SKY BLUE</t>
  </si>
  <si>
    <t>D. FOWAN</t>
  </si>
  <si>
    <t>D. GREEN</t>
  </si>
  <si>
    <t>GREEN BLUE</t>
  </si>
  <si>
    <t>STEEL GREY</t>
  </si>
  <si>
    <t>BLACK BROWN</t>
  </si>
  <si>
    <t>BIEGE</t>
  </si>
  <si>
    <t>MASTERD</t>
  </si>
  <si>
    <t>SEPPERMIX</t>
  </si>
  <si>
    <t>L.BROWN</t>
  </si>
  <si>
    <t>T.BLUE</t>
  </si>
  <si>
    <t>ORANGE</t>
  </si>
  <si>
    <t>WINNRED</t>
  </si>
  <si>
    <t>300/288</t>
  </si>
  <si>
    <t>330 ATY BLACK</t>
  </si>
  <si>
    <t>INWORD-1</t>
  </si>
  <si>
    <t>INWORD-2</t>
  </si>
  <si>
    <t>YARN STOCK SWPL-1&amp;2   450 ATY</t>
  </si>
  <si>
    <t>STEEL GREEN</t>
  </si>
  <si>
    <t>D.FOWON</t>
  </si>
  <si>
    <t>D.EHTIH</t>
  </si>
  <si>
    <t>SUPPRED</t>
  </si>
  <si>
    <t>R.BLUE</t>
  </si>
  <si>
    <t>MULTI</t>
  </si>
  <si>
    <t>440-WHITE</t>
  </si>
  <si>
    <t>450-WHITE</t>
  </si>
  <si>
    <t xml:space="preserve"> LT.GREEN</t>
  </si>
  <si>
    <t xml:space="preserve"> BLUE</t>
  </si>
  <si>
    <t>YARN STOCK SWPL-1&amp;2 450 DTY</t>
  </si>
  <si>
    <t>LT.GREEN</t>
  </si>
  <si>
    <t>S.GREY</t>
  </si>
  <si>
    <t>WINNERED</t>
  </si>
  <si>
    <t>450 WHITE</t>
  </si>
  <si>
    <t>DTY-WHITE</t>
  </si>
  <si>
    <t>YARN STOCK SWPL-1&amp;2  300 288 DTY</t>
  </si>
  <si>
    <t>R. BLUE</t>
  </si>
  <si>
    <t>SPN ATY</t>
  </si>
  <si>
    <t>D.FOWN</t>
  </si>
  <si>
    <t>D.ETITAI</t>
  </si>
  <si>
    <t>WINNEERD</t>
  </si>
  <si>
    <t>SEPPERD</t>
  </si>
  <si>
    <t>T. BLUE</t>
  </si>
  <si>
    <t>L. BROWN</t>
  </si>
  <si>
    <t>350 HSP</t>
  </si>
  <si>
    <t>MILAN LYCRA</t>
  </si>
  <si>
    <t>FD MICRO ROTO</t>
  </si>
  <si>
    <t>SWPL-1</t>
  </si>
  <si>
    <t>SIDDHACHAKRA WEAVING PVT.LTD</t>
  </si>
  <si>
    <t>Beam no.</t>
  </si>
  <si>
    <t>Status</t>
  </si>
  <si>
    <t>FULL BEAM-1</t>
  </si>
  <si>
    <t>FULL BEAM-2</t>
  </si>
  <si>
    <t>EMPTY 2</t>
  </si>
  <si>
    <t>EMPTY 1</t>
  </si>
  <si>
    <t>FULL BEAM - 1</t>
  </si>
  <si>
    <t xml:space="preserve"> SMALL N.N.</t>
  </si>
  <si>
    <t>BIG BEAM N.N.</t>
  </si>
  <si>
    <t>ARVIND LIMITED (MILL`S) SANTEJ</t>
  </si>
  <si>
    <t>ON LOOM</t>
  </si>
  <si>
    <t>FULL BEAM - 2</t>
  </si>
  <si>
    <t>TOTAL BEAM</t>
  </si>
  <si>
    <t>SWPL-2</t>
  </si>
  <si>
    <t>BIG  N.N.</t>
  </si>
  <si>
    <t>SWPL - 1</t>
  </si>
  <si>
    <t>Bottal No.</t>
  </si>
  <si>
    <t>PRESSURE</t>
  </si>
  <si>
    <t>LOOM-9015</t>
  </si>
  <si>
    <t>LOOM-9002</t>
  </si>
  <si>
    <t>GREY GODWON</t>
  </si>
  <si>
    <t>LOOM-9035</t>
  </si>
  <si>
    <t xml:space="preserve">MENDING </t>
  </si>
  <si>
    <t>E-ROOM</t>
  </si>
  <si>
    <t>G.M. OFFICE</t>
  </si>
  <si>
    <t>LOOM-9004</t>
  </si>
  <si>
    <t>LOOM-9029</t>
  </si>
  <si>
    <t>05 NO D GATE</t>
  </si>
  <si>
    <t>LOOM-9027</t>
  </si>
  <si>
    <t>LOOM-9028</t>
  </si>
  <si>
    <t>WARPING</t>
  </si>
  <si>
    <t>LOOM-9014</t>
  </si>
  <si>
    <t>LOOM-9030</t>
  </si>
  <si>
    <t>LOOM-9032</t>
  </si>
  <si>
    <t>04 NO D GATE</t>
  </si>
  <si>
    <t>LOOM-9041</t>
  </si>
  <si>
    <t>LOOM-9005</t>
  </si>
  <si>
    <t>LOOM-9003</t>
  </si>
  <si>
    <t>ATTENDANCE OPP.</t>
  </si>
  <si>
    <t>LOOM-9017</t>
  </si>
  <si>
    <t>LOOM-9006</t>
  </si>
  <si>
    <t>LOOM-9001</t>
  </si>
  <si>
    <t xml:space="preserve">COMPRESSOR </t>
  </si>
  <si>
    <t>LOOM-9036</t>
  </si>
  <si>
    <t>LOOM-9020</t>
  </si>
  <si>
    <t>SEC. OFFICE</t>
  </si>
  <si>
    <t>LOOM-9025</t>
  </si>
  <si>
    <t>LOOM-9033</t>
  </si>
  <si>
    <t>LOOM-9013</t>
  </si>
  <si>
    <t>LOOM-9018</t>
  </si>
  <si>
    <t>WEST GODWON</t>
  </si>
  <si>
    <t>LOOM-9016</t>
  </si>
  <si>
    <t>RIVAINDING MACHINE</t>
  </si>
  <si>
    <t>MAIN OFFICE</t>
  </si>
  <si>
    <t>BALL</t>
  </si>
  <si>
    <t>LOOM-9021</t>
  </si>
  <si>
    <t>MAINTENANCE OFFICE</t>
  </si>
  <si>
    <t>LOOM-9024</t>
  </si>
  <si>
    <t>LOOM - 31</t>
  </si>
  <si>
    <t>LOOM-2</t>
  </si>
  <si>
    <t>LOOM - 37</t>
  </si>
  <si>
    <t>LOOM-6</t>
  </si>
  <si>
    <t>LOOM - 33</t>
  </si>
  <si>
    <t>LOOM-18</t>
  </si>
  <si>
    <t>LOOM - 5</t>
  </si>
  <si>
    <t>LOOM-7</t>
  </si>
  <si>
    <t>LOOM - 39</t>
  </si>
  <si>
    <t>LOOM-27</t>
  </si>
  <si>
    <t>LOOM-32</t>
  </si>
  <si>
    <t>LOOM-17</t>
  </si>
  <si>
    <t>E - ROOM GATE</t>
  </si>
  <si>
    <t>LOOM-28</t>
  </si>
  <si>
    <t>E - ROOM</t>
  </si>
  <si>
    <t>MANDING STAIR</t>
  </si>
  <si>
    <t>LOOM - 40</t>
  </si>
  <si>
    <t>YARN GODWO NO.11</t>
  </si>
  <si>
    <t>LOOM - 25</t>
  </si>
  <si>
    <t xml:space="preserve"> UPPER MENDING GATE</t>
  </si>
  <si>
    <t>LOOM - 29</t>
  </si>
  <si>
    <t>UPPER LIFT GATE</t>
  </si>
  <si>
    <t>LOOM - 1</t>
  </si>
  <si>
    <t>B/H MENDING MACHINE</t>
  </si>
  <si>
    <t>N.R MENDING MACHINE</t>
  </si>
  <si>
    <t>LOOM - 34</t>
  </si>
  <si>
    <t>LOOM - 17</t>
  </si>
  <si>
    <t>MAIN PANEL</t>
  </si>
  <si>
    <t>LOOM - 19</t>
  </si>
  <si>
    <t>YARN GODWO NO.12</t>
  </si>
  <si>
    <t>LOOM - 30</t>
  </si>
  <si>
    <t>LOOM-4</t>
  </si>
  <si>
    <t>Loom - 20</t>
  </si>
  <si>
    <t>COMPRESSOR ROOM</t>
  </si>
  <si>
    <t>LOOM - 3</t>
  </si>
  <si>
    <t>MAINTENANCE ROOM</t>
  </si>
  <si>
    <t>SHIFT - A</t>
  </si>
  <si>
    <t>SHIFT - B</t>
  </si>
  <si>
    <t>TACKLER</t>
  </si>
  <si>
    <t>Beam Gaiter</t>
  </si>
  <si>
    <t>Weaver</t>
  </si>
  <si>
    <t>HELPER</t>
  </si>
  <si>
    <t xml:space="preserve">SAMPLE   SYSTEM </t>
  </si>
  <si>
    <t>SR.NO</t>
  </si>
  <si>
    <t>CHALLAN NO</t>
  </si>
  <si>
    <t>DETAILS</t>
  </si>
  <si>
    <t>REF.NO</t>
  </si>
  <si>
    <t>METER</t>
  </si>
  <si>
    <t>DYEING/PRINT/RFD/OTHER</t>
  </si>
  <si>
    <t xml:space="preserve">PROCESS HOUSE </t>
  </si>
  <si>
    <t>RECEIVED DATE</t>
  </si>
  <si>
    <t>NOTING/ACTION</t>
  </si>
  <si>
    <t>PLANNING</t>
  </si>
  <si>
    <t>YES OR NO</t>
  </si>
  <si>
    <t>SAMPLE PLACE DEPARTMENT FACTORY/HOME/OFFICE</t>
  </si>
  <si>
    <t>SORT NO. - 9240766</t>
  </si>
  <si>
    <t>ONLY FOR CHECKING</t>
  </si>
  <si>
    <t>DESING NO.</t>
  </si>
  <si>
    <t>NEW SORT NO.</t>
  </si>
  <si>
    <t>RS"</t>
  </si>
  <si>
    <t>PICK</t>
  </si>
  <si>
    <t>REF NO.</t>
  </si>
  <si>
    <t>T.END</t>
  </si>
  <si>
    <t>REED</t>
  </si>
  <si>
    <t>TOTAL MTR</t>
  </si>
  <si>
    <t>PARTY`S NAME</t>
  </si>
  <si>
    <t>R.F.D./SULPHER/DYEING/PRINT</t>
  </si>
  <si>
    <t>SORT NO.</t>
  </si>
  <si>
    <t>WARP COUNT</t>
  </si>
  <si>
    <t>WEIGHT/MTR</t>
  </si>
  <si>
    <t>TOTAL WEIGHT</t>
  </si>
  <si>
    <t>WEFT COUNT</t>
  </si>
  <si>
    <t>REMARK</t>
  </si>
  <si>
    <t xml:space="preserve">DESPATCH DATE </t>
  </si>
  <si>
    <t>KAILASH GHASAL</t>
  </si>
  <si>
    <t>BHAGWAN SINGH</t>
  </si>
  <si>
    <t>PARBHU SINGH</t>
  </si>
  <si>
    <t>DIPAK MAHATO</t>
  </si>
  <si>
    <t>DILIP SINI</t>
  </si>
  <si>
    <t>DABLU YADEV</t>
  </si>
  <si>
    <t>DAYA SHANKAR</t>
  </si>
  <si>
    <t>TRILOK RAM</t>
  </si>
  <si>
    <t>MITESH SINGH</t>
  </si>
  <si>
    <t>VISHAL THAKOR</t>
  </si>
  <si>
    <t>RAMA KANT</t>
  </si>
  <si>
    <t>KARAN SINGH</t>
  </si>
  <si>
    <t>CHELA RAM</t>
  </si>
  <si>
    <t>VIKRAM PATEL</t>
  </si>
  <si>
    <t>SATYAM KUMAR</t>
  </si>
  <si>
    <t>AMAL PAL</t>
  </si>
  <si>
    <t>LEAVE</t>
  </si>
  <si>
    <t>DURGA RAM</t>
  </si>
  <si>
    <t>OM PRAKASH</t>
  </si>
  <si>
    <t>BADRI PRASHAD</t>
  </si>
  <si>
    <t>NITISH KUMAR</t>
  </si>
  <si>
    <t>GOVIND RAW (H)</t>
  </si>
  <si>
    <t>SURAJ KUMAR (H)</t>
  </si>
  <si>
    <t>VIPIN KUMAR</t>
  </si>
  <si>
    <t>AJEET KUMAR</t>
  </si>
  <si>
    <t>SURESH RAWAL</t>
  </si>
  <si>
    <t>HARERAM (WARPING)</t>
  </si>
  <si>
    <t>VISHNU BHAI (WARPING)</t>
  </si>
  <si>
    <t>NIM SINGH (YARN)</t>
  </si>
  <si>
    <t>BHAGWAN BHAI (YARN)</t>
  </si>
  <si>
    <t xml:space="preserve"> A-B Shift Sheet DATE : 01-01-2025 </t>
  </si>
  <si>
    <t xml:space="preserve">PRIYANSHU </t>
  </si>
  <si>
    <t>SARWAN KUMAR</t>
  </si>
  <si>
    <t>LALJI PANDIT</t>
  </si>
  <si>
    <t>VISHNU KUMAR</t>
  </si>
  <si>
    <t>MOHAN BHAI PATEEL</t>
  </si>
  <si>
    <t xml:space="preserve">KANU BHAI </t>
  </si>
  <si>
    <t>BALDEV BHAI</t>
  </si>
  <si>
    <t>BHAI LAL BHAI</t>
  </si>
  <si>
    <t xml:space="preserve">RAJA RAM </t>
  </si>
  <si>
    <t>KARAN MHANJI (H)</t>
  </si>
  <si>
    <t>SHANKAR LAL</t>
  </si>
  <si>
    <t>SHANKAR PAL</t>
  </si>
  <si>
    <t>CHUNILAL YADAV</t>
  </si>
  <si>
    <t>KARAN SHA (H)</t>
  </si>
  <si>
    <t>GAUTAM KUMAR</t>
  </si>
  <si>
    <t>YAMUNA YADAV</t>
  </si>
  <si>
    <t>RAHUL KUSHVAHA</t>
  </si>
  <si>
    <t xml:space="preserve">SUMIT </t>
  </si>
  <si>
    <t>SWPL - 2</t>
  </si>
  <si>
    <t xml:space="preserve"> A-B Shift Sheet DATE : 01-02-2025 </t>
  </si>
  <si>
    <t xml:space="preserve">NEERAJ </t>
  </si>
  <si>
    <t>MOHIT YADAV</t>
  </si>
  <si>
    <t>SUMIT</t>
  </si>
  <si>
    <t>VIVEK KUMAR</t>
  </si>
  <si>
    <t xml:space="preserve"> A-B Shift Sheet DATE : 01-03-2025 </t>
  </si>
  <si>
    <t>SAMBHU KUMAR</t>
  </si>
  <si>
    <t>RAVI SHANKAR SINGH</t>
  </si>
  <si>
    <t>PRIYANSHU KUMAR</t>
  </si>
  <si>
    <t>BHAILAL BHAI</t>
  </si>
  <si>
    <t>KANU BHAI PATEL</t>
  </si>
  <si>
    <t>RAJA RAM</t>
  </si>
  <si>
    <t>RAJESH MANJHI</t>
  </si>
  <si>
    <t>SANTOSH GIRI</t>
  </si>
  <si>
    <t>KARAN MANJHI</t>
  </si>
  <si>
    <t>NEERAJ KUMAR</t>
  </si>
  <si>
    <t>SURAJ KUMAR</t>
  </si>
  <si>
    <t>KANU KAKA</t>
  </si>
  <si>
    <t>PRIYANSHU</t>
  </si>
  <si>
    <t>JAYESH PATEL</t>
  </si>
  <si>
    <t>PRABHU SINGH</t>
  </si>
  <si>
    <t xml:space="preserve"> A-B Shift Sheet DATE : 01-05-2025 </t>
  </si>
  <si>
    <t>RAVI SHANKAR</t>
  </si>
  <si>
    <t>KARAN RAV</t>
  </si>
  <si>
    <t>YASH RAV</t>
  </si>
  <si>
    <t>MOHIT RAV</t>
  </si>
  <si>
    <t>ROHIT RAV</t>
  </si>
  <si>
    <t>AMOL PAL</t>
  </si>
  <si>
    <t>GOVIND RAV</t>
  </si>
  <si>
    <t>TILOK RAM</t>
  </si>
  <si>
    <t>DEEPAK MAHATO</t>
  </si>
  <si>
    <t>RAHUL KUSHWAHA</t>
  </si>
  <si>
    <t>SANNY KUMAR</t>
  </si>
  <si>
    <t>GOLU KUMAR</t>
  </si>
  <si>
    <t>GOVIND-2</t>
  </si>
  <si>
    <t>GURUDEV</t>
  </si>
  <si>
    <t>SHARWAN KUMAR</t>
  </si>
  <si>
    <t>JOGINDAR KAKA</t>
  </si>
  <si>
    <t>KARAN SAHA</t>
  </si>
  <si>
    <t>SANOJ GUPTA</t>
  </si>
  <si>
    <t>BIPIN KUMAR</t>
  </si>
  <si>
    <t xml:space="preserve"> A-B Shift Sheet DATE : 01-07-2025 </t>
  </si>
  <si>
    <t>DILIP SAINI</t>
  </si>
  <si>
    <t>KARAN KUMAR MAHATO</t>
  </si>
  <si>
    <t>KUNDAN KUMAR</t>
  </si>
  <si>
    <t>SUKH RAJ</t>
  </si>
  <si>
    <t>RAKESH KUMAR</t>
  </si>
  <si>
    <t>MURARI MAHATO</t>
  </si>
  <si>
    <t>RAJPAL SINGH</t>
  </si>
  <si>
    <t>DABLU KUMAR</t>
  </si>
  <si>
    <t>VIRU RAY</t>
  </si>
  <si>
    <t>SUSHIL</t>
  </si>
  <si>
    <t>UTSAV KUMAR</t>
  </si>
  <si>
    <t>RAHUL PRADHAN</t>
  </si>
  <si>
    <t>MOHIT BHADVA</t>
  </si>
  <si>
    <t>VIKASH KUMAR</t>
  </si>
  <si>
    <t>BEAM STOCK DATE:-10-08-2025 SUNDAY</t>
  </si>
  <si>
    <t>FIRE BOTTAL STOCK.DATE :-10-08-2025 Sunday</t>
  </si>
  <si>
    <t xml:space="preserve"> A-B Shift Sheet DATE : 01-09-2025 </t>
  </si>
  <si>
    <t>DABALU KUMAR</t>
  </si>
  <si>
    <t>VIRU RAI</t>
  </si>
  <si>
    <t>KANU BAHI PATEL</t>
  </si>
  <si>
    <t>SARVAN KUMAR</t>
  </si>
  <si>
    <t>AMAN SINGH</t>
  </si>
  <si>
    <t>BHAILAL BHAI (ALL)</t>
  </si>
  <si>
    <t>RAM BABU</t>
  </si>
  <si>
    <t>MUNIL KUMAR</t>
  </si>
  <si>
    <t>KARAN MAHTO</t>
  </si>
  <si>
    <t>MOHAN PATIL</t>
  </si>
  <si>
    <t>JOGINDAR</t>
  </si>
  <si>
    <t>JAY SINGH</t>
  </si>
  <si>
    <t xml:space="preserve"> A-B Shift Sheet DATE : 01-11-2025 </t>
  </si>
  <si>
    <t>VIKASH MAHATO</t>
  </si>
  <si>
    <t>VIPIN KUAMAR</t>
  </si>
  <si>
    <t>RAHUL PARDHAN</t>
  </si>
  <si>
    <t>GOVIND RAV-2</t>
  </si>
  <si>
    <t>DIPAK KUMAR</t>
  </si>
  <si>
    <t xml:space="preserve">RAM BABU </t>
  </si>
  <si>
    <t>SANJAY MAHATO</t>
  </si>
  <si>
    <t>SUSHILCHAUDHRY</t>
  </si>
  <si>
    <t xml:space="preserve"> A-B Shift Sheet DATE : 01-12-2025 </t>
  </si>
  <si>
    <t>KANU BHAI</t>
  </si>
  <si>
    <t>HARI RAM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</si>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</sst>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₹&quot;\ * #,##0.00_ ;_ &quot;₹&quot;\ * \-#,##0.00_ ;_ &quot;₹&quot;\ * &quot;-&quot;??_ ;_ @_ "/>
    <numFmt numFmtId="165" formatCode="0.000"/>
    <numFmt numFmtId="166" formatCode="###0"/>
  </numFmts>
  <fonts count="53" x14ac:knownFonts="1">
    <font>
      <sz val="11"/>
      <color theme="1"/>
      <name val="Shruti"/>
      <family val="2"/>
      <scheme val="minor"/>
    </font>
    <font>
      <sz val="11"/>
      <color theme="1"/>
      <name val="Shruti"/>
      <family val="2"/>
      <scheme val="minor"/>
    </font>
    <font>
      <b/>
      <sz val="26"/>
      <color theme="1"/>
      <name val="Calibri"/>
      <family val="2"/>
    </font>
    <font>
      <b/>
      <sz val="28"/>
      <name val="Arial Unicode MS"/>
      <family val="2"/>
    </font>
    <font>
      <b/>
      <sz val="28"/>
      <color rgb="FFFF0000"/>
      <name val="Arial Unicode MS"/>
      <family val="2"/>
    </font>
    <font>
      <b/>
      <sz val="28"/>
      <color theme="5"/>
      <name val="Arial Unicode MS"/>
      <family val="2"/>
    </font>
    <font>
      <b/>
      <sz val="28"/>
      <color rgb="FF002060"/>
      <name val="Arial Unicode MS"/>
      <family val="2"/>
    </font>
    <font>
      <b/>
      <sz val="28"/>
      <color theme="1"/>
      <name val="Arial Unicode MS"/>
      <family val="2"/>
    </font>
    <font>
      <b/>
      <sz val="35"/>
      <name val="Arial Unicode MS"/>
      <family val="2"/>
    </font>
    <font>
      <b/>
      <sz val="35"/>
      <color rgb="FF002060"/>
      <name val="Arial Unicode MS"/>
      <family val="2"/>
    </font>
    <font>
      <b/>
      <sz val="35"/>
      <color rgb="FF00B0F0"/>
      <name val="Arial Unicode MS"/>
      <family val="2"/>
    </font>
    <font>
      <b/>
      <sz val="28"/>
      <color theme="1"/>
      <name val="Algerian"/>
      <family val="5"/>
    </font>
    <font>
      <b/>
      <sz val="28"/>
      <color theme="1"/>
      <name val="Shruti"/>
      <family val="2"/>
      <scheme val="major"/>
    </font>
    <font>
      <b/>
      <sz val="35"/>
      <color theme="1"/>
      <name val="Arial Unicode MS"/>
      <family val="2"/>
    </font>
    <font>
      <b/>
      <sz val="35"/>
      <color rgb="FFFF0000"/>
      <name val="Arial Unicode MS"/>
      <family val="2"/>
    </font>
    <font>
      <b/>
      <sz val="35"/>
      <color rgb="FFFFFF00"/>
      <name val="Arial Unicode MS"/>
      <family val="2"/>
    </font>
    <font>
      <sz val="35"/>
      <color theme="1"/>
      <name val="Arial Unicode MS"/>
      <family val="2"/>
    </font>
    <font>
      <sz val="35"/>
      <name val="Arial Unicode MS"/>
      <family val="2"/>
    </font>
    <font>
      <b/>
      <sz val="35"/>
      <color rgb="FFC00000"/>
      <name val="Arial Unicode MS"/>
      <family val="2"/>
    </font>
    <font>
      <sz val="24"/>
      <color theme="1"/>
      <name val="Arial Unicode MS"/>
      <family val="2"/>
    </font>
    <font>
      <b/>
      <sz val="48"/>
      <color indexed="8"/>
      <name val="Shruti"/>
      <family val="2"/>
      <scheme val="minor"/>
    </font>
    <font>
      <b/>
      <sz val="36"/>
      <color indexed="8"/>
      <name val="Shruti"/>
      <family val="2"/>
      <scheme val="minor"/>
    </font>
    <font>
      <sz val="36"/>
      <color theme="1"/>
      <name val="Shruti"/>
      <family val="2"/>
      <scheme val="minor"/>
    </font>
    <font>
      <b/>
      <sz val="26"/>
      <color theme="1"/>
      <name val="Shruti"/>
      <family val="2"/>
      <scheme val="minor"/>
    </font>
    <font>
      <b/>
      <sz val="36"/>
      <color theme="1"/>
      <name val="Shruti"/>
      <family val="2"/>
      <scheme val="minor"/>
    </font>
    <font>
      <b/>
      <sz val="48"/>
      <color theme="1"/>
      <name val="Shruti"/>
      <family val="2"/>
      <scheme val="minor"/>
    </font>
    <font>
      <b/>
      <sz val="26"/>
      <color indexed="8"/>
      <name val="Shruti"/>
      <family val="2"/>
      <scheme val="minor"/>
    </font>
    <font>
      <sz val="48"/>
      <color theme="1"/>
      <name val="Calibri"/>
      <family val="2"/>
    </font>
    <font>
      <b/>
      <sz val="18"/>
      <color theme="1"/>
      <name val="Shruti"/>
      <family val="2"/>
      <scheme val="minor"/>
    </font>
    <font>
      <b/>
      <sz val="18"/>
      <color theme="1"/>
      <name val="Calibri"/>
      <family val="2"/>
    </font>
    <font>
      <b/>
      <sz val="16"/>
      <color theme="1"/>
      <name val="Shruti"/>
      <family val="2"/>
      <scheme val="minor"/>
    </font>
    <font>
      <b/>
      <u val="double"/>
      <sz val="15"/>
      <color theme="9"/>
      <name val="Shruti"/>
      <family val="2"/>
      <scheme val="minor"/>
    </font>
    <font>
      <b/>
      <u/>
      <sz val="20"/>
      <color theme="9"/>
      <name val="Shruti"/>
      <family val="2"/>
      <scheme val="minor"/>
    </font>
    <font>
      <b/>
      <u/>
      <sz val="16"/>
      <color indexed="8"/>
      <name val="Shruti"/>
      <family val="2"/>
      <scheme val="minor"/>
    </font>
    <font>
      <b/>
      <sz val="14"/>
      <name val="Shruti"/>
      <family val="2"/>
      <scheme val="minor"/>
    </font>
    <font>
      <sz val="14"/>
      <name val="Shruti"/>
      <family val="2"/>
      <scheme val="minor"/>
    </font>
    <font>
      <b/>
      <sz val="11"/>
      <color theme="1"/>
      <name val="Shruti"/>
      <family val="2"/>
      <scheme val="minor"/>
    </font>
    <font>
      <b/>
      <sz val="12"/>
      <color theme="1"/>
      <name val="Shruti"/>
      <family val="2"/>
      <scheme val="minor"/>
    </font>
    <font>
      <b/>
      <sz val="14"/>
      <color theme="1"/>
      <name val="Shruti"/>
      <family val="2"/>
      <scheme val="minor"/>
    </font>
    <font>
      <sz val="14"/>
      <color rgb="FF000000"/>
      <name val="Shruti"/>
      <family val="2"/>
      <scheme val="minor"/>
    </font>
    <font>
      <sz val="14"/>
      <color theme="1"/>
      <name val="Shruti"/>
      <family val="2"/>
      <scheme val="minor"/>
    </font>
    <font>
      <b/>
      <sz val="72"/>
      <color indexed="8"/>
      <name val="Algerian"/>
      <family val="5"/>
    </font>
    <font>
      <b/>
      <sz val="72"/>
      <name val="Algerian"/>
      <family val="5"/>
    </font>
    <font>
      <sz val="72"/>
      <name val="Algerian"/>
      <family val="5"/>
    </font>
    <font>
      <b/>
      <sz val="36"/>
      <name val="Calibri"/>
      <family val="2"/>
    </font>
    <font>
      <sz val="36"/>
      <name val="Calibri"/>
      <family val="2"/>
    </font>
    <font>
      <sz val="11"/>
      <name val="Calibri"/>
      <family val="2"/>
    </font>
    <font>
      <b/>
      <sz val="18"/>
      <color indexed="8"/>
      <name val="Shruti"/>
      <family val="2"/>
      <scheme val="minor"/>
    </font>
    <font>
      <u/>
      <sz val="26"/>
      <color rgb="FF984806"/>
      <name val="Arial Black"/>
      <family val="2"/>
    </font>
    <font>
      <sz val="16"/>
      <color theme="1"/>
      <name val="Arial Black"/>
      <family val="2"/>
    </font>
    <font>
      <u/>
      <sz val="16"/>
      <color theme="5" tint="-0.249977111117893"/>
      <name val="Arial Black"/>
      <family val="2"/>
    </font>
    <font>
      <b/>
      <sz val="16"/>
      <color theme="1"/>
      <name val="Arial Black"/>
      <family val="2"/>
    </font>
    <font>
      <u/>
      <sz val="20"/>
      <color rgb="FF984806"/>
      <name val="Arial Black"/>
      <family val="2"/>
    </font>
  </fonts>
  <fills count="2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theme="2" tint="-9.9978637043366805E-2"/>
        <bgColor rgb="FFE5B8B7"/>
      </patternFill>
    </fill>
    <fill>
      <patternFill patternType="solid">
        <fgColor theme="3" tint="0.79998168889431442"/>
        <bgColor rgb="FFC2D69B"/>
      </patternFill>
    </fill>
    <fill>
      <patternFill patternType="solid">
        <fgColor theme="5" tint="0.79998168889431442"/>
        <bgColor rgb="FF8DB3E2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323">
    <xf numFmtId="0" fontId="0" fillId="0" borderId="0" xfId="0"/>
    <xf numFmtId="0" fontId="3" fillId="3" borderId="4" xfId="0" applyNumberFormat="1" applyFont="1" applyFill="1" applyBorder="1" applyAlignment="1">
      <alignment horizontal="center" vertical="center"/>
    </xf>
    <xf numFmtId="0" fontId="3" fillId="3" borderId="4" xfId="1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165" fontId="3" fillId="0" borderId="4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4" xfId="0" applyFont="1" applyBorder="1"/>
    <xf numFmtId="0" fontId="7" fillId="0" borderId="4" xfId="0" applyFont="1" applyFill="1" applyBorder="1"/>
    <xf numFmtId="0" fontId="7" fillId="0" borderId="4" xfId="0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165" fontId="4" fillId="0" borderId="4" xfId="0" applyNumberFormat="1" applyFont="1" applyFill="1" applyBorder="1" applyAlignment="1">
      <alignment horizontal="center" vertical="center"/>
    </xf>
    <xf numFmtId="165" fontId="7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quotePrefix="1" applyNumberFormat="1" applyFont="1" applyFill="1" applyBorder="1" applyAlignment="1">
      <alignment horizontal="center" vertical="center"/>
    </xf>
    <xf numFmtId="0" fontId="8" fillId="4" borderId="4" xfId="0" applyNumberFormat="1" applyFont="1" applyFill="1" applyBorder="1" applyAlignment="1">
      <alignment horizontal="center" vertical="center"/>
    </xf>
    <xf numFmtId="0" fontId="9" fillId="4" borderId="4" xfId="0" applyNumberFormat="1" applyFont="1" applyFill="1" applyBorder="1" applyAlignment="1">
      <alignment horizontal="center" vertical="center"/>
    </xf>
    <xf numFmtId="165" fontId="8" fillId="4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NumberFormat="1" applyFont="1" applyFill="1" applyBorder="1" applyAlignment="1">
      <alignment horizontal="center" vertical="center" wrapText="1"/>
    </xf>
    <xf numFmtId="165" fontId="3" fillId="6" borderId="4" xfId="0" applyNumberFormat="1" applyFont="1" applyFill="1" applyBorder="1" applyAlignment="1">
      <alignment horizontal="center" vertical="center"/>
    </xf>
    <xf numFmtId="0" fontId="7" fillId="6" borderId="4" xfId="0" applyNumberFormat="1" applyFont="1" applyFill="1" applyBorder="1" applyAlignment="1">
      <alignment horizontal="center" vertical="center"/>
    </xf>
    <xf numFmtId="165" fontId="7" fillId="6" borderId="4" xfId="0" applyNumberFormat="1" applyFont="1" applyFill="1" applyBorder="1" applyAlignment="1">
      <alignment horizontal="center" vertical="center"/>
    </xf>
    <xf numFmtId="0" fontId="3" fillId="6" borderId="4" xfId="0" applyNumberFormat="1" applyFont="1" applyFill="1" applyBorder="1" applyAlignment="1">
      <alignment horizontal="center" vertical="center"/>
    </xf>
    <xf numFmtId="165" fontId="7" fillId="0" borderId="4" xfId="0" quotePrefix="1" applyNumberFormat="1" applyFont="1" applyFill="1" applyBorder="1" applyAlignment="1">
      <alignment horizontal="center" vertical="center"/>
    </xf>
    <xf numFmtId="0" fontId="12" fillId="6" borderId="4" xfId="0" applyNumberFormat="1" applyFont="1" applyFill="1" applyBorder="1" applyAlignment="1">
      <alignment horizontal="center" vertical="center"/>
    </xf>
    <xf numFmtId="0" fontId="8" fillId="7" borderId="4" xfId="0" applyNumberFormat="1" applyFont="1" applyFill="1" applyBorder="1" applyAlignment="1">
      <alignment horizontal="center" vertical="center"/>
    </xf>
    <xf numFmtId="0" fontId="10" fillId="7" borderId="4" xfId="0" applyNumberFormat="1" applyFont="1" applyFill="1" applyBorder="1" applyAlignment="1">
      <alignment vertical="center"/>
    </xf>
    <xf numFmtId="0" fontId="10" fillId="7" borderId="4" xfId="0" applyNumberFormat="1" applyFont="1" applyFill="1" applyBorder="1" applyAlignment="1">
      <alignment horizontal="center" vertical="center"/>
    </xf>
    <xf numFmtId="0" fontId="9" fillId="7" borderId="4" xfId="0" applyNumberFormat="1" applyFont="1" applyFill="1" applyBorder="1" applyAlignment="1">
      <alignment horizontal="center" vertical="center"/>
    </xf>
    <xf numFmtId="165" fontId="8" fillId="7" borderId="4" xfId="0" applyNumberFormat="1" applyFont="1" applyFill="1" applyBorder="1" applyAlignment="1">
      <alignment vertical="center"/>
    </xf>
    <xf numFmtId="0" fontId="8" fillId="8" borderId="4" xfId="0" applyNumberFormat="1" applyFont="1" applyFill="1" applyBorder="1" applyAlignment="1">
      <alignment horizontal="center" vertical="center"/>
    </xf>
    <xf numFmtId="0" fontId="13" fillId="2" borderId="4" xfId="0" applyNumberFormat="1" applyFont="1" applyFill="1" applyBorder="1" applyAlignment="1">
      <alignment horizontal="center" vertical="center" wrapText="1"/>
    </xf>
    <xf numFmtId="0" fontId="14" fillId="3" borderId="4" xfId="0" applyNumberFormat="1" applyFont="1" applyFill="1" applyBorder="1" applyAlignment="1">
      <alignment horizontal="center" vertical="center"/>
    </xf>
    <xf numFmtId="0" fontId="14" fillId="9" borderId="4" xfId="0" applyNumberFormat="1" applyFont="1" applyFill="1" applyBorder="1" applyAlignment="1">
      <alignment horizontal="center" vertical="center" wrapText="1"/>
    </xf>
    <xf numFmtId="0" fontId="13" fillId="2" borderId="4" xfId="0" applyNumberFormat="1" applyFont="1" applyFill="1" applyBorder="1" applyAlignment="1">
      <alignment horizontal="center" vertical="center"/>
    </xf>
    <xf numFmtId="0" fontId="15" fillId="10" borderId="4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vertical="center"/>
    </xf>
    <xf numFmtId="0" fontId="19" fillId="0" borderId="0" xfId="0" applyFont="1"/>
    <xf numFmtId="0" fontId="22" fillId="3" borderId="4" xfId="0" applyFont="1" applyFill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23" fillId="0" borderId="4" xfId="0" applyFont="1" applyFill="1" applyBorder="1" applyAlignment="1">
      <alignment horizontal="center"/>
    </xf>
    <xf numFmtId="0" fontId="23" fillId="0" borderId="5" xfId="0" applyFont="1" applyFill="1" applyBorder="1" applyAlignment="1">
      <alignment horizontal="center"/>
    </xf>
    <xf numFmtId="0" fontId="24" fillId="0" borderId="0" xfId="0" applyFont="1"/>
    <xf numFmtId="0" fontId="23" fillId="3" borderId="4" xfId="0" applyFont="1" applyFill="1" applyBorder="1" applyAlignment="1">
      <alignment horizontal="center"/>
    </xf>
    <xf numFmtId="0" fontId="25" fillId="3" borderId="5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5" fillId="3" borderId="4" xfId="0" applyFont="1" applyFill="1" applyBorder="1" applyAlignment="1">
      <alignment horizontal="center"/>
    </xf>
    <xf numFmtId="0" fontId="23" fillId="12" borderId="4" xfId="0" applyFont="1" applyFill="1" applyBorder="1" applyAlignment="1">
      <alignment horizontal="center"/>
    </xf>
    <xf numFmtId="0" fontId="23" fillId="0" borderId="4" xfId="0" applyFont="1" applyBorder="1"/>
    <xf numFmtId="0" fontId="23" fillId="12" borderId="5" xfId="0" applyFont="1" applyFill="1" applyBorder="1" applyAlignment="1">
      <alignment horizontal="center"/>
    </xf>
    <xf numFmtId="0" fontId="23" fillId="3" borderId="4" xfId="0" applyFont="1" applyFill="1" applyBorder="1"/>
    <xf numFmtId="0" fontId="23" fillId="3" borderId="5" xfId="0" applyFont="1" applyFill="1" applyBorder="1" applyAlignment="1">
      <alignment horizontal="center"/>
    </xf>
    <xf numFmtId="0" fontId="23" fillId="9" borderId="5" xfId="0" applyFont="1" applyFill="1" applyBorder="1" applyAlignment="1">
      <alignment horizontal="center"/>
    </xf>
    <xf numFmtId="0" fontId="27" fillId="12" borderId="4" xfId="0" applyFont="1" applyFill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/>
    <xf numFmtId="0" fontId="27" fillId="3" borderId="4" xfId="0" applyFont="1" applyFill="1" applyBorder="1" applyAlignment="1">
      <alignment horizontal="center"/>
    </xf>
    <xf numFmtId="0" fontId="27" fillId="9" borderId="4" xfId="0" applyFont="1" applyFill="1" applyBorder="1" applyAlignment="1">
      <alignment horizontal="center"/>
    </xf>
    <xf numFmtId="0" fontId="27" fillId="0" borderId="4" xfId="0" applyNumberFormat="1" applyFont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2" fillId="0" borderId="0" xfId="0" applyFont="1"/>
    <xf numFmtId="0" fontId="2" fillId="1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4" xfId="0" applyFont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8" fillId="12" borderId="4" xfId="0" applyFont="1" applyFill="1" applyBorder="1" applyAlignment="1">
      <alignment horizontal="center"/>
    </xf>
    <xf numFmtId="0" fontId="28" fillId="0" borderId="4" xfId="0" applyFont="1" applyFill="1" applyBorder="1" applyAlignment="1">
      <alignment horizontal="center"/>
    </xf>
    <xf numFmtId="0" fontId="28" fillId="0" borderId="5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0" xfId="0" applyFont="1"/>
    <xf numFmtId="0" fontId="28" fillId="12" borderId="5" xfId="0" applyFont="1" applyFill="1" applyBorder="1" applyAlignment="1">
      <alignment horizontal="center"/>
    </xf>
    <xf numFmtId="0" fontId="28" fillId="3" borderId="5" xfId="0" applyFont="1" applyFill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34" fillId="14" borderId="16" xfId="2" applyFont="1" applyFill="1" applyBorder="1" applyAlignment="1">
      <alignment horizontal="center" vertical="center" wrapText="1"/>
    </xf>
    <xf numFmtId="0" fontId="34" fillId="2" borderId="16" xfId="2" applyFont="1" applyFill="1" applyBorder="1" applyAlignment="1">
      <alignment horizontal="center" vertical="center" wrapText="1"/>
    </xf>
    <xf numFmtId="0" fontId="35" fillId="15" borderId="5" xfId="2" applyFont="1" applyFill="1" applyBorder="1" applyAlignment="1">
      <alignment horizontal="center" vertical="center"/>
    </xf>
    <xf numFmtId="0" fontId="34" fillId="15" borderId="5" xfId="2" applyFont="1" applyFill="1" applyBorder="1" applyAlignment="1">
      <alignment horizontal="center" vertical="center"/>
    </xf>
    <xf numFmtId="0" fontId="34" fillId="15" borderId="4" xfId="2" applyFont="1" applyFill="1" applyBorder="1" applyAlignment="1">
      <alignment horizontal="center" vertical="center"/>
    </xf>
    <xf numFmtId="0" fontId="35" fillId="15" borderId="4" xfId="2" applyFont="1" applyFill="1" applyBorder="1" applyAlignment="1">
      <alignment horizontal="center" vertical="center"/>
    </xf>
    <xf numFmtId="0" fontId="34" fillId="3" borderId="4" xfId="2" applyFont="1" applyFill="1" applyBorder="1" applyAlignment="1">
      <alignment vertical="center"/>
    </xf>
    <xf numFmtId="0" fontId="30" fillId="3" borderId="4" xfId="0" applyFont="1" applyFill="1" applyBorder="1" applyAlignment="1">
      <alignment horizontal="center" vertical="center"/>
    </xf>
    <xf numFmtId="0" fontId="30" fillId="16" borderId="4" xfId="0" applyFont="1" applyFill="1" applyBorder="1" applyAlignment="1">
      <alignment horizontal="center" vertical="center"/>
    </xf>
    <xf numFmtId="0" fontId="30" fillId="17" borderId="4" xfId="0" applyFont="1" applyFill="1" applyBorder="1" applyAlignment="1">
      <alignment horizontal="center" vertical="center"/>
    </xf>
    <xf numFmtId="0" fontId="30" fillId="18" borderId="4" xfId="0" applyFont="1" applyFill="1" applyBorder="1" applyAlignment="1">
      <alignment horizontal="center" vertical="center"/>
    </xf>
    <xf numFmtId="0" fontId="30" fillId="19" borderId="4" xfId="0" applyFont="1" applyFill="1" applyBorder="1" applyAlignment="1">
      <alignment horizontal="center" vertical="center"/>
    </xf>
    <xf numFmtId="0" fontId="28" fillId="20" borderId="4" xfId="0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38" fillId="14" borderId="5" xfId="2" applyFont="1" applyFill="1" applyBorder="1" applyAlignment="1">
      <alignment horizontal="center" vertical="center" wrapText="1"/>
    </xf>
    <xf numFmtId="0" fontId="38" fillId="2" borderId="5" xfId="2" applyFont="1" applyFill="1" applyBorder="1" applyAlignment="1">
      <alignment horizontal="center" vertical="center" wrapText="1"/>
    </xf>
    <xf numFmtId="0" fontId="39" fillId="15" borderId="4" xfId="0" applyFont="1" applyFill="1" applyBorder="1" applyAlignment="1">
      <alignment horizontal="center" vertical="center"/>
    </xf>
    <xf numFmtId="0" fontId="28" fillId="20" borderId="6" xfId="0" applyFont="1" applyFill="1" applyBorder="1" applyAlignment="1">
      <alignment horizontal="center" vertical="center"/>
    </xf>
    <xf numFmtId="2" fontId="38" fillId="14" borderId="4" xfId="2" applyNumberFormat="1" applyFont="1" applyFill="1" applyBorder="1" applyAlignment="1">
      <alignment horizontal="center" vertical="center" wrapText="1"/>
    </xf>
    <xf numFmtId="2" fontId="38" fillId="2" borderId="4" xfId="2" applyNumberFormat="1" applyFont="1" applyFill="1" applyBorder="1" applyAlignment="1">
      <alignment horizontal="center" vertical="center" wrapText="1"/>
    </xf>
    <xf numFmtId="0" fontId="38" fillId="8" borderId="4" xfId="2" applyFont="1" applyFill="1" applyBorder="1" applyAlignment="1">
      <alignment horizontal="center"/>
    </xf>
    <xf numFmtId="0" fontId="34" fillId="8" borderId="4" xfId="2" applyFont="1" applyFill="1" applyBorder="1" applyAlignment="1">
      <alignment horizontal="center" vertical="center"/>
    </xf>
    <xf numFmtId="0" fontId="40" fillId="16" borderId="4" xfId="2" applyFont="1" applyFill="1" applyBorder="1" applyAlignment="1">
      <alignment horizontal="center" vertical="center"/>
    </xf>
    <xf numFmtId="0" fontId="38" fillId="8" borderId="4" xfId="2" applyFont="1" applyFill="1" applyBorder="1" applyAlignment="1">
      <alignment horizontal="center" vertical="center"/>
    </xf>
    <xf numFmtId="0" fontId="40" fillId="16" borderId="4" xfId="2" applyFont="1" applyFill="1" applyBorder="1" applyAlignment="1">
      <alignment horizontal="center"/>
    </xf>
    <xf numFmtId="0" fontId="35" fillId="16" borderId="4" xfId="2" applyFont="1" applyFill="1" applyBorder="1" applyAlignment="1">
      <alignment horizontal="center" vertical="center"/>
    </xf>
    <xf numFmtId="0" fontId="35" fillId="16" borderId="4" xfId="2" applyFont="1" applyFill="1" applyBorder="1" applyAlignment="1">
      <alignment horizontal="center"/>
    </xf>
    <xf numFmtId="0" fontId="38" fillId="8" borderId="4" xfId="0" applyFont="1" applyFill="1" applyBorder="1" applyAlignment="1">
      <alignment horizontal="center" vertical="center"/>
    </xf>
    <xf numFmtId="0" fontId="38" fillId="16" borderId="4" xfId="0" applyFont="1" applyFill="1" applyBorder="1" applyAlignment="1">
      <alignment horizontal="center" vertical="center"/>
    </xf>
    <xf numFmtId="0" fontId="0" fillId="0" borderId="4" xfId="0" applyBorder="1"/>
    <xf numFmtId="0" fontId="44" fillId="23" borderId="28" xfId="0" applyFont="1" applyFill="1" applyBorder="1" applyAlignment="1">
      <alignment horizontal="center" vertical="center"/>
    </xf>
    <xf numFmtId="0" fontId="44" fillId="24" borderId="28" xfId="0" applyFont="1" applyFill="1" applyBorder="1" applyAlignment="1">
      <alignment horizontal="center" vertical="center"/>
    </xf>
    <xf numFmtId="0" fontId="44" fillId="25" borderId="28" xfId="0" applyFont="1" applyFill="1" applyBorder="1" applyAlignment="1">
      <alignment horizontal="center" vertical="center"/>
    </xf>
    <xf numFmtId="0" fontId="44" fillId="0" borderId="29" xfId="0" applyFont="1" applyBorder="1" applyAlignment="1">
      <alignment horizontal="center" vertical="center"/>
    </xf>
    <xf numFmtId="14" fontId="44" fillId="0" borderId="29" xfId="0" applyNumberFormat="1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/>
    </xf>
    <xf numFmtId="0" fontId="46" fillId="0" borderId="29" xfId="0" applyFont="1" applyBorder="1"/>
    <xf numFmtId="0" fontId="0" fillId="14" borderId="4" xfId="0" applyFill="1" applyBorder="1"/>
    <xf numFmtId="0" fontId="47" fillId="14" borderId="4" xfId="0" applyFont="1" applyFill="1" applyBorder="1" applyAlignment="1"/>
    <xf numFmtId="0" fontId="47" fillId="14" borderId="4" xfId="0" applyFont="1" applyFill="1" applyBorder="1" applyAlignment="1">
      <alignment horizontal="center"/>
    </xf>
    <xf numFmtId="0" fontId="49" fillId="11" borderId="10" xfId="0" applyFont="1" applyFill="1" applyBorder="1" applyAlignment="1"/>
    <xf numFmtId="0" fontId="49" fillId="11" borderId="12" xfId="0" applyFont="1" applyFill="1" applyBorder="1" applyAlignment="1"/>
    <xf numFmtId="0" fontId="49" fillId="11" borderId="19" xfId="0" applyFont="1" applyFill="1" applyBorder="1" applyAlignment="1"/>
    <xf numFmtId="0" fontId="0" fillId="0" borderId="0" xfId="0" applyAlignment="1">
      <alignment horizontal="center"/>
    </xf>
    <xf numFmtId="0" fontId="13" fillId="2" borderId="1" xfId="0" applyNumberFormat="1" applyFont="1" applyFill="1" applyBorder="1" applyAlignment="1">
      <alignment horizontal="center" vertical="center" wrapText="1"/>
    </xf>
    <xf numFmtId="0" fontId="13" fillId="2" borderId="2" xfId="0" applyNumberFormat="1" applyFont="1" applyFill="1" applyBorder="1" applyAlignment="1">
      <alignment horizontal="center" vertical="center" wrapText="1"/>
    </xf>
    <xf numFmtId="0" fontId="13" fillId="2" borderId="3" xfId="0" applyNumberFormat="1" applyFont="1" applyFill="1" applyBorder="1" applyAlignment="1">
      <alignment horizontal="center" vertical="center" wrapText="1"/>
    </xf>
    <xf numFmtId="0" fontId="8" fillId="8" borderId="1" xfId="0" applyNumberFormat="1" applyFont="1" applyFill="1" applyBorder="1" applyAlignment="1">
      <alignment horizontal="center" vertical="center" wrapText="1"/>
    </xf>
    <xf numFmtId="0" fontId="8" fillId="8" borderId="2" xfId="0" applyNumberFormat="1" applyFont="1" applyFill="1" applyBorder="1" applyAlignment="1">
      <alignment horizontal="center" vertical="center" wrapText="1"/>
    </xf>
    <xf numFmtId="0" fontId="8" fillId="8" borderId="3" xfId="0" applyNumberFormat="1" applyFont="1" applyFill="1" applyBorder="1" applyAlignment="1">
      <alignment horizontal="center" vertical="center" wrapText="1"/>
    </xf>
    <xf numFmtId="0" fontId="14" fillId="9" borderId="1" xfId="0" applyNumberFormat="1" applyFont="1" applyFill="1" applyBorder="1" applyAlignment="1">
      <alignment horizontal="center" vertical="center" wrapText="1"/>
    </xf>
    <xf numFmtId="0" fontId="14" fillId="9" borderId="2" xfId="0" applyNumberFormat="1" applyFont="1" applyFill="1" applyBorder="1" applyAlignment="1">
      <alignment horizontal="center" vertical="center" wrapText="1"/>
    </xf>
    <xf numFmtId="0" fontId="14" fillId="9" borderId="3" xfId="0" applyNumberFormat="1" applyFont="1" applyFill="1" applyBorder="1" applyAlignment="1">
      <alignment horizontal="center" vertical="center" wrapText="1"/>
    </xf>
    <xf numFmtId="0" fontId="14" fillId="3" borderId="1" xfId="0" applyNumberFormat="1" applyFont="1" applyFill="1" applyBorder="1" applyAlignment="1">
      <alignment horizontal="center" vertical="center" wrapText="1"/>
    </xf>
    <xf numFmtId="0" fontId="14" fillId="3" borderId="2" xfId="0" applyNumberFormat="1" applyFont="1" applyFill="1" applyBorder="1" applyAlignment="1">
      <alignment horizontal="center" vertical="center" wrapText="1"/>
    </xf>
    <xf numFmtId="0" fontId="14" fillId="3" borderId="3" xfId="0" applyNumberFormat="1" applyFont="1" applyFill="1" applyBorder="1" applyAlignment="1">
      <alignment horizontal="center" vertical="center" wrapText="1"/>
    </xf>
    <xf numFmtId="0" fontId="13" fillId="2" borderId="1" xfId="0" applyNumberFormat="1" applyFont="1" applyFill="1" applyBorder="1" applyAlignment="1">
      <alignment horizontal="center" vertical="center"/>
    </xf>
    <xf numFmtId="0" fontId="13" fillId="2" borderId="3" xfId="0" applyNumberFormat="1" applyFont="1" applyFill="1" applyBorder="1" applyAlignment="1">
      <alignment horizontal="center" vertical="center"/>
    </xf>
    <xf numFmtId="0" fontId="15" fillId="10" borderId="1" xfId="0" applyNumberFormat="1" applyFont="1" applyFill="1" applyBorder="1" applyAlignment="1">
      <alignment horizontal="center" vertical="center" wrapText="1"/>
    </xf>
    <xf numFmtId="0" fontId="15" fillId="10" borderId="2" xfId="0" applyNumberFormat="1" applyFont="1" applyFill="1" applyBorder="1" applyAlignment="1">
      <alignment horizontal="center" vertical="center" wrapText="1"/>
    </xf>
    <xf numFmtId="0" fontId="15" fillId="10" borderId="3" xfId="0" applyNumberFormat="1" applyFont="1" applyFill="1" applyBorder="1" applyAlignment="1">
      <alignment horizontal="center" vertical="center" wrapText="1"/>
    </xf>
    <xf numFmtId="0" fontId="15" fillId="2" borderId="1" xfId="0" applyNumberFormat="1" applyFont="1" applyFill="1" applyBorder="1" applyAlignment="1">
      <alignment horizontal="center" vertical="center" wrapText="1"/>
    </xf>
    <xf numFmtId="0" fontId="15" fillId="2" borderId="2" xfId="0" applyNumberFormat="1" applyFont="1" applyFill="1" applyBorder="1" applyAlignment="1">
      <alignment horizontal="center" vertical="center" wrapText="1"/>
    </xf>
    <xf numFmtId="0" fontId="15" fillId="2" borderId="3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10" fillId="5" borderId="1" xfId="0" applyNumberFormat="1" applyFont="1" applyFill="1" applyBorder="1" applyAlignment="1">
      <alignment horizontal="center" vertical="center"/>
    </xf>
    <xf numFmtId="0" fontId="10" fillId="5" borderId="2" xfId="0" applyNumberFormat="1" applyFont="1" applyFill="1" applyBorder="1" applyAlignment="1">
      <alignment horizontal="center" vertical="center"/>
    </xf>
    <xf numFmtId="0" fontId="10" fillId="5" borderId="3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0" fontId="49" fillId="0" borderId="4" xfId="0" applyFont="1" applyBorder="1" applyAlignment="1">
      <alignment horizontal="center"/>
    </xf>
    <xf numFmtId="0" fontId="51" fillId="3" borderId="4" xfId="0" applyFont="1" applyFill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49" fillId="0" borderId="2" xfId="0" applyFont="1" applyBorder="1" applyAlignment="1">
      <alignment horizontal="center"/>
    </xf>
    <xf numFmtId="0" fontId="49" fillId="0" borderId="3" xfId="0" applyFont="1" applyBorder="1" applyAlignment="1">
      <alignment horizontal="center"/>
    </xf>
    <xf numFmtId="0" fontId="49" fillId="0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52" fillId="15" borderId="4" xfId="0" applyFont="1" applyFill="1" applyBorder="1" applyAlignment="1">
      <alignment horizontal="center" vertical="center"/>
    </xf>
    <xf numFmtId="0" fontId="49" fillId="11" borderId="9" xfId="0" applyFont="1" applyFill="1" applyBorder="1" applyAlignment="1">
      <alignment horizontal="center" textRotation="255"/>
    </xf>
    <xf numFmtId="0" fontId="49" fillId="11" borderId="0" xfId="0" applyFont="1" applyFill="1" applyBorder="1" applyAlignment="1">
      <alignment horizontal="center" textRotation="255"/>
    </xf>
    <xf numFmtId="0" fontId="49" fillId="11" borderId="18" xfId="0" applyFont="1" applyFill="1" applyBorder="1" applyAlignment="1">
      <alignment horizontal="center" textRotation="255"/>
    </xf>
    <xf numFmtId="0" fontId="48" fillId="15" borderId="4" xfId="0" applyFont="1" applyFill="1" applyBorder="1" applyAlignment="1">
      <alignment horizontal="center" vertical="center"/>
    </xf>
    <xf numFmtId="0" fontId="50" fillId="18" borderId="4" xfId="0" applyFont="1" applyFill="1" applyBorder="1" applyAlignment="1">
      <alignment horizontal="center"/>
    </xf>
    <xf numFmtId="0" fontId="51" fillId="0" borderId="4" xfId="0" applyFont="1" applyBorder="1" applyAlignment="1">
      <alignment horizontal="center"/>
    </xf>
    <xf numFmtId="0" fontId="49" fillId="0" borderId="33" xfId="0" applyFont="1" applyFill="1" applyBorder="1" applyAlignment="1">
      <alignment horizontal="center"/>
    </xf>
    <xf numFmtId="0" fontId="49" fillId="0" borderId="34" xfId="0" applyFont="1" applyFill="1" applyBorder="1" applyAlignment="1">
      <alignment horizontal="center"/>
    </xf>
    <xf numFmtId="0" fontId="49" fillId="0" borderId="33" xfId="0" applyFont="1" applyBorder="1" applyAlignment="1">
      <alignment horizontal="center"/>
    </xf>
    <xf numFmtId="0" fontId="49" fillId="0" borderId="34" xfId="0" applyFont="1" applyBorder="1" applyAlignment="1">
      <alignment horizontal="center"/>
    </xf>
    <xf numFmtId="0" fontId="51" fillId="3" borderId="48" xfId="0" applyFont="1" applyFill="1" applyBorder="1" applyAlignment="1">
      <alignment horizontal="center"/>
    </xf>
    <xf numFmtId="0" fontId="51" fillId="3" borderId="49" xfId="0" applyFont="1" applyFill="1" applyBorder="1" applyAlignment="1">
      <alignment horizontal="center"/>
    </xf>
    <xf numFmtId="0" fontId="51" fillId="3" borderId="50" xfId="0" applyFont="1" applyFill="1" applyBorder="1" applyAlignment="1">
      <alignment horizontal="center"/>
    </xf>
    <xf numFmtId="0" fontId="51" fillId="3" borderId="56" xfId="0" applyFont="1" applyFill="1" applyBorder="1" applyAlignment="1">
      <alignment horizontal="center"/>
    </xf>
    <xf numFmtId="0" fontId="51" fillId="3" borderId="46" xfId="0" applyFont="1" applyFill="1" applyBorder="1" applyAlignment="1">
      <alignment horizontal="center"/>
    </xf>
    <xf numFmtId="0" fontId="51" fillId="3" borderId="47" xfId="0" applyFont="1" applyFill="1" applyBorder="1" applyAlignment="1">
      <alignment horizontal="center"/>
    </xf>
    <xf numFmtId="0" fontId="49" fillId="0" borderId="30" xfId="0" applyFont="1" applyBorder="1" applyAlignment="1">
      <alignment horizontal="center"/>
    </xf>
    <xf numFmtId="0" fontId="49" fillId="0" borderId="31" xfId="0" applyFont="1" applyBorder="1" applyAlignment="1">
      <alignment horizontal="center"/>
    </xf>
    <xf numFmtId="0" fontId="49" fillId="0" borderId="32" xfId="0" applyFont="1" applyBorder="1" applyAlignment="1">
      <alignment horizontal="center"/>
    </xf>
    <xf numFmtId="0" fontId="49" fillId="0" borderId="42" xfId="0" applyFont="1" applyBorder="1" applyAlignment="1">
      <alignment horizontal="center"/>
    </xf>
    <xf numFmtId="0" fontId="49" fillId="0" borderId="5" xfId="0" applyFont="1" applyBorder="1" applyAlignment="1">
      <alignment horizontal="center"/>
    </xf>
    <xf numFmtId="0" fontId="49" fillId="0" borderId="23" xfId="0" applyFont="1" applyBorder="1" applyAlignment="1">
      <alignment horizontal="center"/>
    </xf>
    <xf numFmtId="0" fontId="49" fillId="0" borderId="35" xfId="0" applyFont="1" applyFill="1" applyBorder="1" applyAlignment="1">
      <alignment horizontal="center"/>
    </xf>
    <xf numFmtId="0" fontId="49" fillId="0" borderId="36" xfId="0" applyFont="1" applyFill="1" applyBorder="1" applyAlignment="1">
      <alignment horizontal="center"/>
    </xf>
    <xf numFmtId="0" fontId="49" fillId="0" borderId="37" xfId="0" applyFont="1" applyFill="1" applyBorder="1" applyAlignment="1">
      <alignment horizontal="center"/>
    </xf>
    <xf numFmtId="0" fontId="49" fillId="0" borderId="35" xfId="0" applyFont="1" applyBorder="1" applyAlignment="1">
      <alignment horizontal="center"/>
    </xf>
    <xf numFmtId="0" fontId="49" fillId="0" borderId="36" xfId="0" applyFont="1" applyBorder="1" applyAlignment="1">
      <alignment horizontal="center"/>
    </xf>
    <xf numFmtId="0" fontId="49" fillId="0" borderId="37" xfId="0" applyFont="1" applyBorder="1" applyAlignment="1">
      <alignment horizontal="center"/>
    </xf>
    <xf numFmtId="0" fontId="49" fillId="11" borderId="57" xfId="0" applyFont="1" applyFill="1" applyBorder="1" applyAlignment="1">
      <alignment horizontal="center" textRotation="255"/>
    </xf>
    <xf numFmtId="0" fontId="49" fillId="11" borderId="58" xfId="0" applyFont="1" applyFill="1" applyBorder="1" applyAlignment="1">
      <alignment horizontal="center" textRotation="255"/>
    </xf>
    <xf numFmtId="0" fontId="49" fillId="11" borderId="59" xfId="0" applyFont="1" applyFill="1" applyBorder="1" applyAlignment="1">
      <alignment horizontal="center" textRotation="255"/>
    </xf>
    <xf numFmtId="0" fontId="49" fillId="0" borderId="55" xfId="0" applyFont="1" applyBorder="1" applyAlignment="1">
      <alignment horizontal="center"/>
    </xf>
    <xf numFmtId="0" fontId="49" fillId="0" borderId="38" xfId="0" applyFont="1" applyBorder="1" applyAlignment="1">
      <alignment horizontal="center"/>
    </xf>
    <xf numFmtId="0" fontId="49" fillId="0" borderId="39" xfId="0" applyFont="1" applyBorder="1" applyAlignment="1">
      <alignment horizontal="center"/>
    </xf>
    <xf numFmtId="0" fontId="51" fillId="3" borderId="45" xfId="0" applyFont="1" applyFill="1" applyBorder="1" applyAlignment="1">
      <alignment horizontal="center"/>
    </xf>
    <xf numFmtId="0" fontId="49" fillId="0" borderId="52" xfId="0" applyFont="1" applyBorder="1" applyAlignment="1">
      <alignment horizontal="center"/>
    </xf>
    <xf numFmtId="0" fontId="49" fillId="0" borderId="53" xfId="0" applyFont="1" applyBorder="1" applyAlignment="1">
      <alignment horizontal="center"/>
    </xf>
    <xf numFmtId="0" fontId="49" fillId="0" borderId="54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9" xfId="0" applyBorder="1" applyAlignment="1">
      <alignment horizontal="center"/>
    </xf>
    <xf numFmtId="0" fontId="49" fillId="0" borderId="40" xfId="0" applyFont="1" applyBorder="1" applyAlignment="1">
      <alignment horizontal="center"/>
    </xf>
    <xf numFmtId="0" fontId="49" fillId="0" borderId="6" xfId="0" applyFont="1" applyBorder="1" applyAlignment="1">
      <alignment horizontal="center"/>
    </xf>
    <xf numFmtId="0" fontId="49" fillId="0" borderId="20" xfId="0" applyFont="1" applyBorder="1" applyAlignment="1">
      <alignment horizontal="center"/>
    </xf>
    <xf numFmtId="0" fontId="49" fillId="0" borderId="41" xfId="0" applyFont="1" applyBorder="1" applyAlignment="1">
      <alignment horizontal="center"/>
    </xf>
    <xf numFmtId="0" fontId="49" fillId="0" borderId="44" xfId="0" applyFont="1" applyBorder="1" applyAlignment="1">
      <alignment horizontal="center"/>
    </xf>
    <xf numFmtId="0" fontId="51" fillId="3" borderId="51" xfId="0" applyFont="1" applyFill="1" applyBorder="1" applyAlignment="1">
      <alignment horizontal="center"/>
    </xf>
    <xf numFmtId="0" fontId="51" fillId="0" borderId="30" xfId="0" applyFont="1" applyBorder="1" applyAlignment="1">
      <alignment horizontal="center"/>
    </xf>
    <xf numFmtId="0" fontId="51" fillId="0" borderId="31" xfId="0" applyFont="1" applyBorder="1" applyAlignment="1">
      <alignment horizontal="center"/>
    </xf>
    <xf numFmtId="0" fontId="51" fillId="0" borderId="32" xfId="0" applyFont="1" applyBorder="1" applyAlignment="1">
      <alignment horizontal="center"/>
    </xf>
    <xf numFmtId="0" fontId="49" fillId="0" borderId="43" xfId="0" applyFont="1" applyBorder="1" applyAlignment="1">
      <alignment horizontal="center"/>
    </xf>
    <xf numFmtId="0" fontId="52" fillId="15" borderId="48" xfId="0" applyFont="1" applyFill="1" applyBorder="1" applyAlignment="1">
      <alignment horizontal="center" vertical="center"/>
    </xf>
    <xf numFmtId="0" fontId="52" fillId="15" borderId="49" xfId="0" applyFont="1" applyFill="1" applyBorder="1" applyAlignment="1">
      <alignment horizontal="center" vertical="center"/>
    </xf>
    <xf numFmtId="0" fontId="52" fillId="15" borderId="50" xfId="0" applyFont="1" applyFill="1" applyBorder="1" applyAlignment="1">
      <alignment horizontal="center" vertical="center"/>
    </xf>
    <xf numFmtId="0" fontId="48" fillId="15" borderId="48" xfId="0" applyFont="1" applyFill="1" applyBorder="1" applyAlignment="1">
      <alignment horizontal="center" vertical="center"/>
    </xf>
    <xf numFmtId="0" fontId="48" fillId="15" borderId="49" xfId="0" applyFont="1" applyFill="1" applyBorder="1" applyAlignment="1">
      <alignment horizontal="center" vertical="center"/>
    </xf>
    <xf numFmtId="0" fontId="48" fillId="15" borderId="50" xfId="0" applyFont="1" applyFill="1" applyBorder="1" applyAlignment="1">
      <alignment horizontal="center" vertical="center"/>
    </xf>
    <xf numFmtId="0" fontId="50" fillId="18" borderId="48" xfId="0" applyFont="1" applyFill="1" applyBorder="1" applyAlignment="1">
      <alignment horizontal="center"/>
    </xf>
    <xf numFmtId="0" fontId="50" fillId="18" borderId="49" xfId="0" applyFont="1" applyFill="1" applyBorder="1" applyAlignment="1">
      <alignment horizontal="center"/>
    </xf>
    <xf numFmtId="0" fontId="50" fillId="18" borderId="50" xfId="0" applyFont="1" applyFill="1" applyBorder="1" applyAlignment="1">
      <alignment horizontal="center"/>
    </xf>
    <xf numFmtId="0" fontId="51" fillId="3" borderId="33" xfId="0" applyFont="1" applyFill="1" applyBorder="1" applyAlignment="1">
      <alignment horizontal="center"/>
    </xf>
    <xf numFmtId="0" fontId="51" fillId="3" borderId="34" xfId="0" applyFont="1" applyFill="1" applyBorder="1" applyAlignment="1">
      <alignment horizontal="center"/>
    </xf>
    <xf numFmtId="0" fontId="49" fillId="6" borderId="33" xfId="0" applyFont="1" applyFill="1" applyBorder="1" applyAlignment="1">
      <alignment horizontal="center"/>
    </xf>
    <xf numFmtId="0" fontId="49" fillId="6" borderId="4" xfId="0" applyFont="1" applyFill="1" applyBorder="1" applyAlignment="1">
      <alignment horizontal="center"/>
    </xf>
    <xf numFmtId="0" fontId="52" fillId="15" borderId="30" xfId="0" applyFont="1" applyFill="1" applyBorder="1" applyAlignment="1">
      <alignment horizontal="center" vertical="center"/>
    </xf>
    <xf numFmtId="0" fontId="52" fillId="15" borderId="31" xfId="0" applyFont="1" applyFill="1" applyBorder="1" applyAlignment="1">
      <alignment horizontal="center" vertical="center"/>
    </xf>
    <xf numFmtId="0" fontId="52" fillId="15" borderId="32" xfId="0" applyFont="1" applyFill="1" applyBorder="1" applyAlignment="1">
      <alignment horizontal="center" vertical="center"/>
    </xf>
    <xf numFmtId="0" fontId="48" fillId="15" borderId="33" xfId="0" applyFont="1" applyFill="1" applyBorder="1" applyAlignment="1">
      <alignment horizontal="center" vertical="center"/>
    </xf>
    <xf numFmtId="0" fontId="48" fillId="15" borderId="34" xfId="0" applyFont="1" applyFill="1" applyBorder="1" applyAlignment="1">
      <alignment horizontal="center" vertical="center"/>
    </xf>
    <xf numFmtId="0" fontId="50" fillId="18" borderId="33" xfId="0" applyFont="1" applyFill="1" applyBorder="1" applyAlignment="1">
      <alignment horizontal="center"/>
    </xf>
    <xf numFmtId="0" fontId="50" fillId="18" borderId="34" xfId="0" applyFont="1" applyFill="1" applyBorder="1" applyAlignment="1">
      <alignment horizontal="center"/>
    </xf>
    <xf numFmtId="0" fontId="49" fillId="6" borderId="34" xfId="0" applyFont="1" applyFill="1" applyBorder="1" applyAlignment="1">
      <alignment horizontal="center"/>
    </xf>
    <xf numFmtId="0" fontId="51" fillId="0" borderId="33" xfId="0" applyFont="1" applyBorder="1" applyAlignment="1">
      <alignment horizontal="center"/>
    </xf>
    <xf numFmtId="0" fontId="47" fillId="11" borderId="1" xfId="0" applyFont="1" applyFill="1" applyBorder="1" applyAlignment="1">
      <alignment horizontal="center"/>
    </xf>
    <xf numFmtId="0" fontId="47" fillId="11" borderId="2" xfId="0" applyFont="1" applyFill="1" applyBorder="1" applyAlignment="1">
      <alignment horizontal="center"/>
    </xf>
    <xf numFmtId="0" fontId="0" fillId="0" borderId="4" xfId="0" applyBorder="1"/>
    <xf numFmtId="0" fontId="0" fillId="14" borderId="4" xfId="0" applyFill="1" applyBorder="1" applyAlignment="1">
      <alignment horizontal="center"/>
    </xf>
    <xf numFmtId="0" fontId="37" fillId="0" borderId="4" xfId="0" applyFont="1" applyBorder="1" applyAlignment="1">
      <alignment horizontal="center" vertical="center"/>
    </xf>
    <xf numFmtId="0" fontId="33" fillId="11" borderId="13" xfId="2" applyFont="1" applyFill="1" applyBorder="1" applyAlignment="1">
      <alignment horizontal="center" vertical="center"/>
    </xf>
    <xf numFmtId="0" fontId="33" fillId="11" borderId="14" xfId="2" applyFont="1" applyFill="1" applyBorder="1" applyAlignment="1">
      <alignment horizontal="center" vertical="center"/>
    </xf>
    <xf numFmtId="0" fontId="33" fillId="11" borderId="15" xfId="2" applyFont="1" applyFill="1" applyBorder="1" applyAlignment="1">
      <alignment horizontal="center" vertical="center"/>
    </xf>
    <xf numFmtId="0" fontId="34" fillId="3" borderId="4" xfId="2" applyFont="1" applyFill="1" applyBorder="1" applyAlignment="1">
      <alignment horizontal="center" vertical="center"/>
    </xf>
    <xf numFmtId="0" fontId="30" fillId="16" borderId="4" xfId="0" applyFont="1" applyFill="1" applyBorder="1" applyAlignment="1">
      <alignment horizontal="center"/>
    </xf>
    <xf numFmtId="0" fontId="30" fillId="17" borderId="4" xfId="0" applyFont="1" applyFill="1" applyBorder="1" applyAlignment="1">
      <alignment horizontal="center" vertical="center"/>
    </xf>
    <xf numFmtId="0" fontId="36" fillId="19" borderId="4" xfId="0" applyFont="1" applyFill="1" applyBorder="1" applyAlignment="1">
      <alignment horizontal="center"/>
    </xf>
    <xf numFmtId="0" fontId="37" fillId="20" borderId="4" xfId="0" applyFont="1" applyFill="1" applyBorder="1" applyAlignment="1">
      <alignment horizontal="center" vertical="center"/>
    </xf>
    <xf numFmtId="0" fontId="32" fillId="13" borderId="8" xfId="2" applyFont="1" applyFill="1" applyBorder="1" applyAlignment="1">
      <alignment horizontal="center" vertical="center"/>
    </xf>
    <xf numFmtId="0" fontId="32" fillId="13" borderId="9" xfId="2" applyFont="1" applyFill="1" applyBorder="1" applyAlignment="1">
      <alignment horizontal="center" vertical="center"/>
    </xf>
    <xf numFmtId="0" fontId="32" fillId="13" borderId="10" xfId="2" applyFont="1" applyFill="1" applyBorder="1" applyAlignment="1">
      <alignment horizontal="center" vertical="center"/>
    </xf>
    <xf numFmtId="0" fontId="32" fillId="13" borderId="17" xfId="2" applyFont="1" applyFill="1" applyBorder="1" applyAlignment="1">
      <alignment horizontal="center" vertical="center"/>
    </xf>
    <xf numFmtId="0" fontId="32" fillId="13" borderId="18" xfId="2" applyFont="1" applyFill="1" applyBorder="1" applyAlignment="1">
      <alignment horizontal="center" vertical="center"/>
    </xf>
    <xf numFmtId="0" fontId="32" fillId="13" borderId="19" xfId="2" applyFont="1" applyFill="1" applyBorder="1" applyAlignment="1">
      <alignment horizontal="center" vertical="center"/>
    </xf>
    <xf numFmtId="0" fontId="31" fillId="13" borderId="7" xfId="0" applyFont="1" applyFill="1" applyBorder="1" applyAlignment="1">
      <alignment horizontal="center" vertical="center"/>
    </xf>
    <xf numFmtId="0" fontId="32" fillId="13" borderId="11" xfId="2" applyFont="1" applyFill="1" applyBorder="1" applyAlignment="1">
      <alignment horizontal="center" vertical="center"/>
    </xf>
    <xf numFmtId="0" fontId="32" fillId="13" borderId="0" xfId="2" applyFont="1" applyFill="1" applyBorder="1" applyAlignment="1">
      <alignment horizontal="center" vertical="center"/>
    </xf>
    <xf numFmtId="0" fontId="32" fillId="13" borderId="12" xfId="2" applyFont="1" applyFill="1" applyBorder="1" applyAlignment="1">
      <alignment horizontal="center" vertical="center"/>
    </xf>
    <xf numFmtId="0" fontId="30" fillId="18" borderId="4" xfId="0" applyFont="1" applyFill="1" applyBorder="1" applyAlignment="1">
      <alignment horizontal="center" vertical="center"/>
    </xf>
    <xf numFmtId="0" fontId="30" fillId="20" borderId="4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0" fontId="20" fillId="11" borderId="2" xfId="0" applyFont="1" applyFill="1" applyBorder="1" applyAlignment="1">
      <alignment horizontal="center"/>
    </xf>
    <xf numFmtId="0" fontId="20" fillId="11" borderId="3" xfId="0" applyFont="1" applyFill="1" applyBorder="1" applyAlignment="1">
      <alignment horizontal="center"/>
    </xf>
    <xf numFmtId="0" fontId="26" fillId="9" borderId="1" xfId="0" applyFont="1" applyFill="1" applyBorder="1" applyAlignment="1">
      <alignment horizontal="center"/>
    </xf>
    <xf numFmtId="0" fontId="26" fillId="9" borderId="2" xfId="0" applyFont="1" applyFill="1" applyBorder="1" applyAlignment="1">
      <alignment horizontal="center"/>
    </xf>
    <xf numFmtId="0" fontId="26" fillId="9" borderId="3" xfId="0" applyFont="1" applyFill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0" fillId="9" borderId="1" xfId="0" applyFont="1" applyFill="1" applyBorder="1" applyAlignment="1">
      <alignment horizontal="center"/>
    </xf>
    <xf numFmtId="0" fontId="20" fillId="9" borderId="2" xfId="0" applyFont="1" applyFill="1" applyBorder="1" applyAlignment="1">
      <alignment horizontal="center"/>
    </xf>
    <xf numFmtId="0" fontId="20" fillId="9" borderId="3" xfId="0" applyFont="1" applyFill="1" applyBorder="1" applyAlignment="1">
      <alignment horizontal="center"/>
    </xf>
    <xf numFmtId="0" fontId="21" fillId="3" borderId="4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14" fontId="21" fillId="3" borderId="4" xfId="0" applyNumberFormat="1" applyFont="1" applyFill="1" applyBorder="1" applyAlignment="1">
      <alignment horizontal="center"/>
    </xf>
    <xf numFmtId="0" fontId="32" fillId="13" borderId="20" xfId="2" applyFont="1" applyFill="1" applyBorder="1" applyAlignment="1">
      <alignment horizontal="center" vertical="center"/>
    </xf>
    <xf numFmtId="0" fontId="32" fillId="13" borderId="21" xfId="2" applyFont="1" applyFill="1" applyBorder="1" applyAlignment="1">
      <alignment horizontal="center" vertical="center"/>
    </xf>
    <xf numFmtId="0" fontId="32" fillId="13" borderId="22" xfId="2" applyFont="1" applyFill="1" applyBorder="1" applyAlignment="1">
      <alignment horizontal="center" vertical="center"/>
    </xf>
    <xf numFmtId="0" fontId="32" fillId="13" borderId="23" xfId="2" applyFont="1" applyFill="1" applyBorder="1" applyAlignment="1">
      <alignment horizontal="center" vertical="center"/>
    </xf>
    <xf numFmtId="0" fontId="32" fillId="13" borderId="24" xfId="2" applyFont="1" applyFill="1" applyBorder="1" applyAlignment="1">
      <alignment horizontal="center" vertical="center"/>
    </xf>
    <xf numFmtId="0" fontId="32" fillId="13" borderId="25" xfId="2" applyFont="1" applyFill="1" applyBorder="1" applyAlignment="1">
      <alignment horizontal="center" vertical="center"/>
    </xf>
    <xf numFmtId="0" fontId="30" fillId="11" borderId="1" xfId="2" applyFont="1" applyFill="1" applyBorder="1" applyAlignment="1">
      <alignment horizontal="center" vertical="center"/>
    </xf>
    <xf numFmtId="0" fontId="30" fillId="11" borderId="2" xfId="2" applyFont="1" applyFill="1" applyBorder="1" applyAlignment="1">
      <alignment horizontal="center" vertical="center"/>
    </xf>
    <xf numFmtId="0" fontId="30" fillId="11" borderId="3" xfId="2" applyFont="1" applyFill="1" applyBorder="1" applyAlignment="1">
      <alignment horizontal="center" vertical="center"/>
    </xf>
    <xf numFmtId="0" fontId="32" fillId="13" borderId="26" xfId="2" applyFont="1" applyFill="1" applyBorder="1" applyAlignment="1">
      <alignment horizontal="center" vertical="center"/>
    </xf>
    <xf numFmtId="0" fontId="32" fillId="13" borderId="27" xfId="2" applyFont="1" applyFill="1" applyBorder="1" applyAlignment="1">
      <alignment horizontal="center" vertical="center"/>
    </xf>
    <xf numFmtId="0" fontId="41" fillId="21" borderId="13" xfId="0" applyFont="1" applyFill="1" applyBorder="1" applyAlignment="1">
      <alignment horizontal="center" vertical="center"/>
    </xf>
    <xf numFmtId="0" fontId="41" fillId="21" borderId="14" xfId="0" applyFont="1" applyFill="1" applyBorder="1" applyAlignment="1">
      <alignment horizontal="center" vertical="center"/>
    </xf>
    <xf numFmtId="0" fontId="41" fillId="21" borderId="15" xfId="0" applyFont="1" applyFill="1" applyBorder="1" applyAlignment="1">
      <alignment horizontal="center" vertical="center"/>
    </xf>
    <xf numFmtId="0" fontId="42" fillId="22" borderId="13" xfId="0" applyFont="1" applyFill="1" applyBorder="1" applyAlignment="1">
      <alignment horizontal="center" vertical="center"/>
    </xf>
    <xf numFmtId="0" fontId="43" fillId="3" borderId="14" xfId="0" applyFont="1" applyFill="1" applyBorder="1" applyAlignment="1"/>
    <xf numFmtId="0" fontId="43" fillId="3" borderId="15" xfId="0" applyFont="1" applyFill="1" applyBorder="1" applyAlignment="1"/>
  </cellXfs>
  <cellStyles count="3">
    <cellStyle name="Currency" xfId="1" builtinId="4"/>
    <cellStyle name="Normal" xfId="0" builtinId="0"/>
    <cellStyle name="Normal 2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764721</xdr:colOff>
      <xdr:row>1</xdr:row>
      <xdr:rowOff>173717</xdr:rowOff>
    </xdr:to>
    <xdr:sp macro="" textlink="">
      <xdr:nvSpPr>
        <xdr:cNvPr id="2" name="AutoShape 1" descr="https://data.mail.yahoo.com/xobni/v4/contacts/daa1.db4c/photo?spsize=180X180&amp;fallback_url=https%3A%2F%2Fs.yimg.com%2Fdh%2Fap%2Fsocial%2Fprofile%2Fprofile_a64.png&amp;alphatar_photo=true&amp;appId=YMailNorrin&amp;badge=false"/>
        <xdr:cNvSpPr>
          <a:spLocks noChangeAspect="1" noChangeArrowheads="1"/>
        </xdr:cNvSpPr>
      </xdr:nvSpPr>
      <xdr:spPr bwMode="auto">
        <a:xfrm>
          <a:off x="762000" y="1132427250"/>
          <a:ext cx="936171" cy="669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764721</xdr:colOff>
      <xdr:row>1</xdr:row>
      <xdr:rowOff>37192</xdr:rowOff>
    </xdr:to>
    <xdr:sp macro="" textlink="">
      <xdr:nvSpPr>
        <xdr:cNvPr id="3" name="AutoShape 1" descr="https://data.mail.yahoo.com/xobni/v4/contacts/daa1.db4c/photo?spsize=180X180&amp;fallback_url=https%3A%2F%2Fs.yimg.com%2Fdh%2Fap%2Fsocial%2Fprofile%2Fprofile_a64.png&amp;alphatar_photo=true&amp;appId=YMailNorrin&amp;badge=false"/>
        <xdr:cNvSpPr>
          <a:spLocks noChangeAspect="1" noChangeArrowheads="1"/>
        </xdr:cNvSpPr>
      </xdr:nvSpPr>
      <xdr:spPr bwMode="auto">
        <a:xfrm>
          <a:off x="762000" y="1132427250"/>
          <a:ext cx="936171" cy="494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764721</xdr:colOff>
      <xdr:row>1</xdr:row>
      <xdr:rowOff>173717</xdr:rowOff>
    </xdr:to>
    <xdr:sp macro="" textlink="">
      <xdr:nvSpPr>
        <xdr:cNvPr id="4" name="AutoShape 1" descr="https://data.mail.yahoo.com/xobni/v4/contacts/daa1.db4c/photo?spsize=180X180&amp;fallback_url=https%3A%2F%2Fs.yimg.com%2Fdh%2Fap%2Fsocial%2Fprofile%2Fprofile_a64.png&amp;alphatar_photo=true&amp;appId=YMailNorrin&amp;badge=false"/>
        <xdr:cNvSpPr>
          <a:spLocks noChangeAspect="1" noChangeArrowheads="1"/>
        </xdr:cNvSpPr>
      </xdr:nvSpPr>
      <xdr:spPr bwMode="auto">
        <a:xfrm>
          <a:off x="762000" y="1132427250"/>
          <a:ext cx="936171" cy="669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764721</xdr:colOff>
      <xdr:row>1</xdr:row>
      <xdr:rowOff>37192</xdr:rowOff>
    </xdr:to>
    <xdr:sp macro="" textlink="">
      <xdr:nvSpPr>
        <xdr:cNvPr id="5" name="AutoShape 1" descr="https://data.mail.yahoo.com/xobni/v4/contacts/daa1.db4c/photo?spsize=180X180&amp;fallback_url=https%3A%2F%2Fs.yimg.com%2Fdh%2Fap%2Fsocial%2Fprofile%2Fprofile_a64.png&amp;alphatar_photo=true&amp;appId=YMailNorrin&amp;badge=false"/>
        <xdr:cNvSpPr>
          <a:spLocks noChangeAspect="1" noChangeArrowheads="1"/>
        </xdr:cNvSpPr>
      </xdr:nvSpPr>
      <xdr:spPr bwMode="auto">
        <a:xfrm>
          <a:off x="762000" y="1132427250"/>
          <a:ext cx="936171" cy="494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"/>
  <sheetViews>
    <sheetView topLeftCell="A22" zoomScale="32" zoomScaleNormal="32" workbookViewId="0">
      <selection activeCell="C53" sqref="C53"/>
    </sheetView>
  </sheetViews>
  <sheetFormatPr defaultRowHeight="21" x14ac:dyDescent="0.55000000000000004"/>
  <cols>
    <col min="3" max="3" width="76.5546875" customWidth="1"/>
    <col min="4" max="4" width="29.33203125" bestFit="1" customWidth="1"/>
    <col min="5" max="5" width="24.6640625" bestFit="1" customWidth="1"/>
    <col min="6" max="6" width="32.6640625" bestFit="1" customWidth="1"/>
    <col min="7" max="7" width="19.33203125" bestFit="1" customWidth="1"/>
    <col min="8" max="8" width="22.109375" bestFit="1" customWidth="1"/>
    <col min="9" max="9" width="50.109375" bestFit="1" customWidth="1"/>
    <col min="10" max="10" width="34.44140625" bestFit="1" customWidth="1"/>
    <col min="11" max="11" width="28.88671875" bestFit="1" customWidth="1"/>
    <col min="12" max="12" width="60.5546875" bestFit="1" customWidth="1"/>
    <col min="13" max="13" width="19.33203125" bestFit="1" customWidth="1"/>
    <col min="14" max="14" width="22.109375" bestFit="1" customWidth="1"/>
  </cols>
  <sheetData>
    <row r="1" spans="1:16" ht="40.5" x14ac:dyDescent="0.55000000000000004">
      <c r="A1" s="149"/>
      <c r="B1" s="149"/>
      <c r="C1" s="170" t="s">
        <v>0</v>
      </c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2"/>
      <c r="O1" s="149"/>
      <c r="P1" s="149"/>
    </row>
    <row r="2" spans="1:16" ht="40.5" x14ac:dyDescent="0.55000000000000004">
      <c r="A2" s="149"/>
      <c r="B2" s="149"/>
      <c r="C2" s="173" t="s">
        <v>1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5"/>
      <c r="O2" s="149"/>
      <c r="P2" s="149"/>
    </row>
    <row r="3" spans="1:16" ht="40.5" x14ac:dyDescent="0.55000000000000004">
      <c r="A3" s="149"/>
      <c r="B3" s="149"/>
      <c r="C3" s="1" t="s">
        <v>2</v>
      </c>
      <c r="D3" s="2" t="s">
        <v>3</v>
      </c>
      <c r="E3" s="2" t="s">
        <v>4</v>
      </c>
      <c r="F3" s="3" t="s">
        <v>5</v>
      </c>
      <c r="G3" s="1" t="s">
        <v>6</v>
      </c>
      <c r="H3" s="4" t="s">
        <v>7</v>
      </c>
      <c r="I3" s="1" t="s">
        <v>2</v>
      </c>
      <c r="J3" s="3" t="s">
        <v>3</v>
      </c>
      <c r="K3" s="2" t="s">
        <v>4</v>
      </c>
      <c r="L3" s="3" t="s">
        <v>5</v>
      </c>
      <c r="M3" s="1" t="s">
        <v>6</v>
      </c>
      <c r="N3" s="5" t="s">
        <v>7</v>
      </c>
      <c r="O3" s="149"/>
      <c r="P3" s="149"/>
    </row>
    <row r="4" spans="1:16" ht="40.5" x14ac:dyDescent="0.55000000000000004">
      <c r="A4" s="149"/>
      <c r="B4" s="149"/>
      <c r="C4" s="6" t="s">
        <v>8</v>
      </c>
      <c r="D4" s="7" t="s">
        <v>9</v>
      </c>
      <c r="E4" s="7" t="s">
        <v>9</v>
      </c>
      <c r="F4" s="8" t="s">
        <v>9</v>
      </c>
      <c r="G4" s="6">
        <f>122+138</f>
        <v>260</v>
      </c>
      <c r="H4" s="9">
        <v>0.48399999999999999</v>
      </c>
      <c r="I4" s="6">
        <v>930570</v>
      </c>
      <c r="J4" s="8" t="s">
        <v>9</v>
      </c>
      <c r="K4" s="8" t="s">
        <v>9</v>
      </c>
      <c r="L4" s="8" t="s">
        <v>9</v>
      </c>
      <c r="M4" s="6">
        <f>107+210</f>
        <v>317</v>
      </c>
      <c r="N4" s="9">
        <v>0.45500000000000002</v>
      </c>
      <c r="O4" s="149"/>
      <c r="P4" s="149"/>
    </row>
    <row r="5" spans="1:16" ht="40.5" x14ac:dyDescent="0.55000000000000004">
      <c r="A5" s="149"/>
      <c r="B5" s="149"/>
      <c r="C5" s="6" t="s">
        <v>10</v>
      </c>
      <c r="D5" s="7" t="s">
        <v>9</v>
      </c>
      <c r="E5" s="7" t="s">
        <v>9</v>
      </c>
      <c r="F5" s="8" t="s">
        <v>9</v>
      </c>
      <c r="G5" s="6">
        <f>197+226</f>
        <v>423</v>
      </c>
      <c r="H5" s="9">
        <v>0.48499999999999999</v>
      </c>
      <c r="I5" s="10"/>
      <c r="J5" s="8"/>
      <c r="K5" s="8"/>
      <c r="L5" s="8"/>
      <c r="M5" s="10"/>
      <c r="N5" s="11"/>
      <c r="O5" s="149"/>
      <c r="P5" s="149"/>
    </row>
    <row r="6" spans="1:16" ht="40.5" x14ac:dyDescent="0.55000000000000004">
      <c r="A6" s="149"/>
      <c r="B6" s="149"/>
      <c r="C6" s="6" t="s">
        <v>11</v>
      </c>
      <c r="D6" s="7" t="s">
        <v>9</v>
      </c>
      <c r="E6" s="7" t="s">
        <v>9</v>
      </c>
      <c r="F6" s="8" t="s">
        <v>9</v>
      </c>
      <c r="G6" s="6">
        <f>41</f>
        <v>41</v>
      </c>
      <c r="H6" s="9">
        <v>0.51500000000000001</v>
      </c>
      <c r="I6" s="6">
        <v>930576</v>
      </c>
      <c r="J6" s="8" t="s">
        <v>9</v>
      </c>
      <c r="K6" s="8" t="s">
        <v>9</v>
      </c>
      <c r="L6" s="8" t="s">
        <v>9</v>
      </c>
      <c r="M6" s="6">
        <f>30+93</f>
        <v>123</v>
      </c>
      <c r="N6" s="9">
        <v>0.48</v>
      </c>
      <c r="O6" s="149"/>
      <c r="P6" s="149"/>
    </row>
    <row r="7" spans="1:16" ht="40.5" x14ac:dyDescent="0.7">
      <c r="A7" s="149"/>
      <c r="B7" s="149"/>
      <c r="C7" s="12"/>
      <c r="D7" s="12"/>
      <c r="E7" s="12"/>
      <c r="F7" s="12" t="s">
        <v>12</v>
      </c>
      <c r="G7" s="13"/>
      <c r="H7" s="14"/>
      <c r="I7" s="6"/>
      <c r="J7" s="8"/>
      <c r="K7" s="8"/>
      <c r="L7" s="8"/>
      <c r="M7" s="6"/>
      <c r="N7" s="9"/>
      <c r="O7" s="149"/>
      <c r="P7" s="149"/>
    </row>
    <row r="8" spans="1:16" ht="40.5" x14ac:dyDescent="0.55000000000000004">
      <c r="A8" s="149"/>
      <c r="B8" s="149"/>
      <c r="C8" s="15" t="s">
        <v>13</v>
      </c>
      <c r="D8" s="8" t="s">
        <v>9</v>
      </c>
      <c r="E8" s="8" t="s">
        <v>9</v>
      </c>
      <c r="F8" s="8" t="s">
        <v>9</v>
      </c>
      <c r="G8" s="6">
        <v>249</v>
      </c>
      <c r="H8" s="9">
        <v>0.5</v>
      </c>
      <c r="I8" s="6">
        <v>930585</v>
      </c>
      <c r="J8" s="8" t="s">
        <v>9</v>
      </c>
      <c r="K8" s="8" t="s">
        <v>9</v>
      </c>
      <c r="L8" s="8" t="s">
        <v>9</v>
      </c>
      <c r="M8" s="6">
        <f>160+141+109</f>
        <v>410</v>
      </c>
      <c r="N8" s="9">
        <v>0.5</v>
      </c>
      <c r="O8" s="149"/>
      <c r="P8" s="149"/>
    </row>
    <row r="9" spans="1:16" ht="40.5" x14ac:dyDescent="0.55000000000000004">
      <c r="A9" s="149"/>
      <c r="B9" s="149"/>
      <c r="C9" s="15"/>
      <c r="D9" s="8"/>
      <c r="E9" s="8"/>
      <c r="F9" s="8"/>
      <c r="G9" s="6"/>
      <c r="H9" s="9"/>
      <c r="I9" s="6"/>
      <c r="J9" s="8"/>
      <c r="K9" s="8"/>
      <c r="L9" s="8"/>
      <c r="M9" s="6"/>
      <c r="N9" s="9"/>
      <c r="O9" s="149"/>
      <c r="P9" s="149"/>
    </row>
    <row r="10" spans="1:16" ht="40.5" x14ac:dyDescent="0.55000000000000004">
      <c r="A10" s="149"/>
      <c r="B10" s="149"/>
      <c r="C10" s="15" t="s">
        <v>14</v>
      </c>
      <c r="D10" s="8" t="s">
        <v>9</v>
      </c>
      <c r="E10" s="8" t="s">
        <v>15</v>
      </c>
      <c r="F10" s="8" t="s">
        <v>9</v>
      </c>
      <c r="G10" s="6">
        <f>162+123+207</f>
        <v>492</v>
      </c>
      <c r="H10" s="9">
        <v>0.51</v>
      </c>
      <c r="I10" s="6">
        <v>9240585</v>
      </c>
      <c r="J10" s="8" t="s">
        <v>9</v>
      </c>
      <c r="K10" s="8" t="s">
        <v>9</v>
      </c>
      <c r="L10" s="8" t="s">
        <v>9</v>
      </c>
      <c r="M10" s="6">
        <v>185</v>
      </c>
      <c r="N10" s="9">
        <v>0.53</v>
      </c>
      <c r="O10" s="149"/>
      <c r="P10" s="149"/>
    </row>
    <row r="11" spans="1:16" ht="40.5" x14ac:dyDescent="0.7">
      <c r="A11" s="149"/>
      <c r="B11" s="149"/>
      <c r="C11" s="12"/>
      <c r="D11" s="12"/>
      <c r="E11" s="12"/>
      <c r="F11" s="13"/>
      <c r="G11" s="13"/>
      <c r="H11" s="14"/>
      <c r="I11" s="6"/>
      <c r="J11" s="8"/>
      <c r="K11" s="8"/>
      <c r="L11" s="8"/>
      <c r="M11" s="6"/>
      <c r="N11" s="9"/>
      <c r="O11" s="149"/>
      <c r="P11" s="149"/>
    </row>
    <row r="12" spans="1:16" ht="40.5" x14ac:dyDescent="0.55000000000000004">
      <c r="A12" s="149"/>
      <c r="B12" s="149"/>
      <c r="C12" s="6" t="s">
        <v>16</v>
      </c>
      <c r="D12" s="6" t="s">
        <v>9</v>
      </c>
      <c r="E12" s="6" t="s">
        <v>9</v>
      </c>
      <c r="F12" s="8" t="s">
        <v>9</v>
      </c>
      <c r="G12" s="6">
        <f>212+297+137+170</f>
        <v>816</v>
      </c>
      <c r="H12" s="9">
        <v>0.51500000000000001</v>
      </c>
      <c r="I12" s="6">
        <v>9240485</v>
      </c>
      <c r="J12" s="8" t="s">
        <v>9</v>
      </c>
      <c r="K12" s="8" t="s">
        <v>9</v>
      </c>
      <c r="L12" s="8" t="s">
        <v>9</v>
      </c>
      <c r="M12" s="6">
        <v>9</v>
      </c>
      <c r="N12" s="9">
        <v>0.52500000000000002</v>
      </c>
      <c r="O12" s="149"/>
      <c r="P12" s="149"/>
    </row>
    <row r="13" spans="1:16" ht="40.5" x14ac:dyDescent="0.55000000000000004">
      <c r="A13" s="149"/>
      <c r="B13" s="149"/>
      <c r="C13" s="16"/>
      <c r="D13" s="16"/>
      <c r="E13" s="16"/>
      <c r="F13" s="17"/>
      <c r="G13" s="16"/>
      <c r="H13" s="18"/>
      <c r="I13" s="6"/>
      <c r="J13" s="8"/>
      <c r="K13" s="8"/>
      <c r="L13" s="8"/>
      <c r="M13" s="6"/>
      <c r="N13" s="9"/>
      <c r="O13" s="149"/>
      <c r="P13" s="149"/>
    </row>
    <row r="14" spans="1:16" ht="40.5" x14ac:dyDescent="0.55000000000000004">
      <c r="A14" s="149"/>
      <c r="B14" s="149"/>
      <c r="C14" s="15" t="s">
        <v>17</v>
      </c>
      <c r="D14" s="8" t="s">
        <v>9</v>
      </c>
      <c r="E14" s="8" t="s">
        <v>9</v>
      </c>
      <c r="F14" s="8" t="s">
        <v>9</v>
      </c>
      <c r="G14" s="6">
        <f>250+175+88+231+231-800</f>
        <v>175</v>
      </c>
      <c r="H14" s="9">
        <v>0.48499999999999999</v>
      </c>
      <c r="I14" s="6">
        <v>9240603</v>
      </c>
      <c r="J14" s="8" t="s">
        <v>9</v>
      </c>
      <c r="K14" s="8" t="s">
        <v>9</v>
      </c>
      <c r="L14" s="8" t="s">
        <v>9</v>
      </c>
      <c r="M14" s="6">
        <v>198</v>
      </c>
      <c r="N14" s="9">
        <v>0.56000000000000005</v>
      </c>
      <c r="O14" s="149"/>
      <c r="P14" s="149"/>
    </row>
    <row r="15" spans="1:16" ht="40.5" x14ac:dyDescent="0.7">
      <c r="A15" s="149"/>
      <c r="B15" s="149"/>
      <c r="C15" s="13"/>
      <c r="D15" s="13"/>
      <c r="E15" s="13"/>
      <c r="F15" s="13"/>
      <c r="G15" s="13"/>
      <c r="H15" s="14"/>
      <c r="I15" s="10"/>
      <c r="J15" s="8"/>
      <c r="K15" s="8"/>
      <c r="L15" s="8"/>
      <c r="M15" s="10"/>
      <c r="N15" s="19"/>
      <c r="O15" s="149"/>
      <c r="P15" s="149"/>
    </row>
    <row r="16" spans="1:16" ht="40.5" x14ac:dyDescent="0.55000000000000004">
      <c r="A16" s="149"/>
      <c r="B16" s="149"/>
      <c r="C16" s="20" t="s">
        <v>18</v>
      </c>
      <c r="D16" s="21">
        <v>220</v>
      </c>
      <c r="E16" s="21" t="s">
        <v>9</v>
      </c>
      <c r="F16" s="6" t="s">
        <v>19</v>
      </c>
      <c r="G16" s="20">
        <v>40</v>
      </c>
      <c r="H16" s="19">
        <v>0.46500000000000002</v>
      </c>
      <c r="I16" s="6">
        <v>9240337</v>
      </c>
      <c r="J16" s="8" t="s">
        <v>9</v>
      </c>
      <c r="K16" s="8" t="s">
        <v>9</v>
      </c>
      <c r="L16" s="8" t="s">
        <v>9</v>
      </c>
      <c r="M16" s="6">
        <f>210+149</f>
        <v>359</v>
      </c>
      <c r="N16" s="9">
        <v>0.5</v>
      </c>
      <c r="O16" s="149"/>
      <c r="P16" s="149"/>
    </row>
    <row r="17" spans="1:16" ht="40.5" x14ac:dyDescent="0.55000000000000004">
      <c r="A17" s="149"/>
      <c r="B17" s="149"/>
      <c r="C17" s="20"/>
      <c r="D17" s="21"/>
      <c r="E17" s="21"/>
      <c r="F17" s="6"/>
      <c r="G17" s="20"/>
      <c r="H17" s="9"/>
      <c r="I17" s="10"/>
      <c r="J17" s="8"/>
      <c r="K17" s="8"/>
      <c r="L17" s="8"/>
      <c r="M17" s="10"/>
      <c r="N17" s="19"/>
      <c r="O17" s="149"/>
      <c r="P17" s="149"/>
    </row>
    <row r="18" spans="1:16" ht="40.5" x14ac:dyDescent="0.55000000000000004">
      <c r="A18" s="149"/>
      <c r="B18" s="149"/>
      <c r="C18" s="6" t="s">
        <v>20</v>
      </c>
      <c r="D18" s="6" t="s">
        <v>9</v>
      </c>
      <c r="E18" s="22" t="s">
        <v>9</v>
      </c>
      <c r="F18" s="8" t="s">
        <v>9</v>
      </c>
      <c r="G18" s="6">
        <f>194+189</f>
        <v>383</v>
      </c>
      <c r="H18" s="9">
        <v>0.5</v>
      </c>
      <c r="I18" s="6" t="s">
        <v>21</v>
      </c>
      <c r="J18" s="8" t="s">
        <v>9</v>
      </c>
      <c r="K18" s="8" t="s">
        <v>9</v>
      </c>
      <c r="L18" s="8" t="s">
        <v>9</v>
      </c>
      <c r="M18" s="6">
        <f>176+182+115+66+181+116+173+50+205+130+233+250+247+219+190+188+171+188+175+192+176+128+98+137+198+98-3205</f>
        <v>1077</v>
      </c>
      <c r="N18" s="9">
        <v>0.47899999999999998</v>
      </c>
      <c r="O18" s="149"/>
      <c r="P18" s="149"/>
    </row>
    <row r="19" spans="1:16" ht="40.5" x14ac:dyDescent="0.55000000000000004">
      <c r="A19" s="149"/>
      <c r="B19" s="149"/>
      <c r="C19" s="6" t="s">
        <v>22</v>
      </c>
      <c r="D19" s="6" t="s">
        <v>9</v>
      </c>
      <c r="E19" s="6" t="s">
        <v>9</v>
      </c>
      <c r="F19" s="8" t="s">
        <v>9</v>
      </c>
      <c r="G19" s="6">
        <f>165+59</f>
        <v>224</v>
      </c>
      <c r="H19" s="9">
        <v>0.5</v>
      </c>
      <c r="I19" s="10"/>
      <c r="J19" s="8"/>
      <c r="K19" s="8"/>
      <c r="L19" s="8"/>
      <c r="M19" s="10"/>
      <c r="N19" s="19"/>
      <c r="O19" s="149"/>
      <c r="P19" s="149"/>
    </row>
    <row r="20" spans="1:16" ht="40.5" x14ac:dyDescent="0.55000000000000004">
      <c r="A20" s="149"/>
      <c r="B20" s="149"/>
      <c r="C20" s="20"/>
      <c r="D20" s="21"/>
      <c r="E20" s="21"/>
      <c r="F20" s="6"/>
      <c r="G20" s="20"/>
      <c r="H20" s="9"/>
      <c r="I20" s="6" t="s">
        <v>23</v>
      </c>
      <c r="J20" s="6" t="s">
        <v>9</v>
      </c>
      <c r="K20" s="6" t="s">
        <v>9</v>
      </c>
      <c r="L20" s="8" t="s">
        <v>9</v>
      </c>
      <c r="M20" s="8">
        <v>242</v>
      </c>
      <c r="N20" s="9">
        <v>0.5</v>
      </c>
      <c r="O20" s="149"/>
      <c r="P20" s="149"/>
    </row>
    <row r="21" spans="1:16" ht="40.5" x14ac:dyDescent="0.55000000000000004">
      <c r="A21" s="149"/>
      <c r="B21" s="149"/>
      <c r="C21" s="6">
        <v>9240219</v>
      </c>
      <c r="D21" s="6">
        <v>457</v>
      </c>
      <c r="E21" s="10">
        <v>97774</v>
      </c>
      <c r="F21" s="8">
        <v>20000</v>
      </c>
      <c r="G21" s="6">
        <f>194+191+148+109+217+208+129+194+204+192+224+195+255+203+69+179+202+190+213+198+198+193+192+191+193+202+166+195+202</f>
        <v>5446</v>
      </c>
      <c r="H21" s="9">
        <f>97.45/194</f>
        <v>0.50231958762886597</v>
      </c>
      <c r="I21" s="6" t="s">
        <v>24</v>
      </c>
      <c r="J21" s="6" t="s">
        <v>9</v>
      </c>
      <c r="K21" s="6" t="s">
        <v>9</v>
      </c>
      <c r="L21" s="8" t="s">
        <v>9</v>
      </c>
      <c r="M21" s="6">
        <f>200+16</f>
        <v>216</v>
      </c>
      <c r="N21" s="9">
        <v>0.5</v>
      </c>
      <c r="O21" s="149"/>
      <c r="P21" s="149"/>
    </row>
    <row r="22" spans="1:16" ht="40.5" x14ac:dyDescent="0.55000000000000004">
      <c r="A22" s="149"/>
      <c r="B22" s="149"/>
      <c r="C22" s="6"/>
      <c r="D22" s="6"/>
      <c r="E22" s="6"/>
      <c r="F22" s="8"/>
      <c r="G22" s="6"/>
      <c r="H22" s="9"/>
      <c r="I22" s="6"/>
      <c r="J22" s="6"/>
      <c r="K22" s="6"/>
      <c r="L22" s="8"/>
      <c r="M22" s="6"/>
      <c r="N22" s="9"/>
      <c r="O22" s="149"/>
      <c r="P22" s="149"/>
    </row>
    <row r="23" spans="1:16" ht="40.5" x14ac:dyDescent="0.55000000000000004">
      <c r="A23" s="149"/>
      <c r="B23" s="149"/>
      <c r="C23" s="6">
        <v>9301142</v>
      </c>
      <c r="D23" s="6">
        <v>414</v>
      </c>
      <c r="E23" s="6" t="s">
        <v>9</v>
      </c>
      <c r="F23" s="8">
        <v>1000</v>
      </c>
      <c r="G23" s="6">
        <f>154+200+209+205+169+109+166</f>
        <v>1212</v>
      </c>
      <c r="H23" s="9">
        <v>0.48</v>
      </c>
      <c r="I23" s="6">
        <v>9301086</v>
      </c>
      <c r="J23" s="6">
        <v>449</v>
      </c>
      <c r="K23" s="6">
        <v>97917</v>
      </c>
      <c r="L23" s="8">
        <v>1100</v>
      </c>
      <c r="M23" s="6">
        <f>199+199+211+211+121+212</f>
        <v>1153</v>
      </c>
      <c r="N23" s="9">
        <f>101/199</f>
        <v>0.50753768844221103</v>
      </c>
      <c r="O23" s="149"/>
      <c r="P23" s="149"/>
    </row>
    <row r="24" spans="1:16" ht="40.5" x14ac:dyDescent="0.55000000000000004">
      <c r="A24" s="149"/>
      <c r="B24" s="149"/>
      <c r="C24" s="6">
        <v>9301143</v>
      </c>
      <c r="D24" s="6">
        <v>414</v>
      </c>
      <c r="E24" s="6" t="s">
        <v>9</v>
      </c>
      <c r="F24" s="8">
        <v>1000</v>
      </c>
      <c r="G24" s="6" t="s">
        <v>9</v>
      </c>
      <c r="H24" s="9" t="s">
        <v>9</v>
      </c>
      <c r="I24" s="6">
        <v>9301087</v>
      </c>
      <c r="J24" s="6">
        <v>449</v>
      </c>
      <c r="K24" s="6">
        <v>97917</v>
      </c>
      <c r="L24" s="8">
        <v>1100</v>
      </c>
      <c r="M24" s="6">
        <f>189+209+173+212</f>
        <v>783</v>
      </c>
      <c r="N24" s="9">
        <f>95.3/189</f>
        <v>0.50423280423280425</v>
      </c>
      <c r="O24" s="149"/>
      <c r="P24" s="149"/>
    </row>
    <row r="25" spans="1:16" ht="40.5" x14ac:dyDescent="0.55000000000000004">
      <c r="A25" s="149"/>
      <c r="B25" s="149"/>
      <c r="C25" s="6">
        <v>9301144</v>
      </c>
      <c r="D25" s="6">
        <v>414</v>
      </c>
      <c r="E25" s="6" t="s">
        <v>9</v>
      </c>
      <c r="F25" s="8">
        <v>1000</v>
      </c>
      <c r="G25" s="6" t="s">
        <v>9</v>
      </c>
      <c r="H25" s="9" t="s">
        <v>9</v>
      </c>
      <c r="I25" s="6">
        <v>9301088</v>
      </c>
      <c r="J25" s="6">
        <v>449</v>
      </c>
      <c r="K25" s="6">
        <v>97917</v>
      </c>
      <c r="L25" s="8">
        <v>1100</v>
      </c>
      <c r="M25" s="6">
        <f>212+132+230+192</f>
        <v>766</v>
      </c>
      <c r="N25" s="9">
        <f>116.1/230</f>
        <v>0.50478260869565217</v>
      </c>
      <c r="O25" s="149"/>
      <c r="P25" s="149"/>
    </row>
    <row r="26" spans="1:16" ht="40.5" x14ac:dyDescent="0.55000000000000004">
      <c r="A26" s="149"/>
      <c r="B26" s="149"/>
      <c r="C26" s="6">
        <v>9301145</v>
      </c>
      <c r="D26" s="6">
        <v>414</v>
      </c>
      <c r="E26" s="6" t="s">
        <v>9</v>
      </c>
      <c r="F26" s="8">
        <v>1000</v>
      </c>
      <c r="G26" s="6">
        <f>207+216</f>
        <v>423</v>
      </c>
      <c r="H26" s="9">
        <f>107.25/207</f>
        <v>0.51811594202898548</v>
      </c>
      <c r="I26" s="6">
        <v>9301089</v>
      </c>
      <c r="J26" s="6">
        <v>449</v>
      </c>
      <c r="K26" s="6">
        <v>97917</v>
      </c>
      <c r="L26" s="8">
        <v>1100</v>
      </c>
      <c r="M26" s="6">
        <f>214</f>
        <v>214</v>
      </c>
      <c r="N26" s="9">
        <f>107.65/214</f>
        <v>0.50303738317757007</v>
      </c>
      <c r="O26" s="149"/>
      <c r="P26" s="149"/>
    </row>
    <row r="27" spans="1:16" ht="40.5" x14ac:dyDescent="0.55000000000000004">
      <c r="A27" s="149"/>
      <c r="B27" s="149"/>
      <c r="C27" s="6">
        <v>9301146</v>
      </c>
      <c r="D27" s="6">
        <v>414</v>
      </c>
      <c r="E27" s="6" t="s">
        <v>9</v>
      </c>
      <c r="F27" s="8">
        <v>1000</v>
      </c>
      <c r="G27" s="6">
        <f>160+208+204+83+211+125</f>
        <v>991</v>
      </c>
      <c r="H27" s="9">
        <f>77/160</f>
        <v>0.48125000000000001</v>
      </c>
      <c r="I27" s="6">
        <v>9301090</v>
      </c>
      <c r="J27" s="6">
        <v>449</v>
      </c>
      <c r="K27" s="6">
        <v>97917</v>
      </c>
      <c r="L27" s="8">
        <v>1100</v>
      </c>
      <c r="M27" s="6">
        <f>195+199+65+207+202+163</f>
        <v>1031</v>
      </c>
      <c r="N27" s="9">
        <f>101.35/199</f>
        <v>0.50929648241206027</v>
      </c>
      <c r="O27" s="149"/>
      <c r="P27" s="149"/>
    </row>
    <row r="28" spans="1:16" ht="40.5" x14ac:dyDescent="0.55000000000000004">
      <c r="A28" s="149"/>
      <c r="B28" s="149"/>
      <c r="C28" s="6"/>
      <c r="D28" s="6"/>
      <c r="E28" s="6"/>
      <c r="F28" s="8"/>
      <c r="G28" s="6"/>
      <c r="H28" s="9"/>
      <c r="I28" s="6">
        <v>9301091</v>
      </c>
      <c r="J28" s="6">
        <v>449</v>
      </c>
      <c r="K28" s="6">
        <v>97917</v>
      </c>
      <c r="L28" s="8">
        <v>1100</v>
      </c>
      <c r="M28" s="6">
        <f>128+211+209+217+205+166</f>
        <v>1136</v>
      </c>
      <c r="N28" s="9">
        <f>108.2/211</f>
        <v>0.51279620853080565</v>
      </c>
      <c r="O28" s="149"/>
      <c r="P28" s="149"/>
    </row>
    <row r="29" spans="1:16" ht="40.5" x14ac:dyDescent="0.55000000000000004">
      <c r="A29" s="149"/>
      <c r="B29" s="149"/>
      <c r="C29" s="6">
        <v>940186</v>
      </c>
      <c r="D29" s="6">
        <v>460</v>
      </c>
      <c r="E29" s="10">
        <v>97949</v>
      </c>
      <c r="F29" s="8">
        <v>4060</v>
      </c>
      <c r="G29" s="6">
        <f>50+197+142+162+85+213+184+203+107+203+195</f>
        <v>1741</v>
      </c>
      <c r="H29" s="9">
        <f>23.1/50</f>
        <v>0.46200000000000002</v>
      </c>
      <c r="I29" s="6">
        <v>9301092</v>
      </c>
      <c r="J29" s="6">
        <v>449</v>
      </c>
      <c r="K29" s="6">
        <v>97917</v>
      </c>
      <c r="L29" s="8">
        <v>900</v>
      </c>
      <c r="M29" s="6">
        <f>204+207+224+101+213</f>
        <v>949</v>
      </c>
      <c r="N29" s="9">
        <f>101.85/204</f>
        <v>0.49926470588235289</v>
      </c>
      <c r="O29" s="149"/>
      <c r="P29" s="149"/>
    </row>
    <row r="30" spans="1:16" ht="40.5" x14ac:dyDescent="0.55000000000000004">
      <c r="A30" s="149"/>
      <c r="B30" s="149"/>
      <c r="C30" s="6">
        <v>940187</v>
      </c>
      <c r="D30" s="6">
        <v>460</v>
      </c>
      <c r="E30" s="10">
        <v>97949</v>
      </c>
      <c r="F30" s="8">
        <v>1200</v>
      </c>
      <c r="G30" s="6">
        <f>205+208+189+222</f>
        <v>824</v>
      </c>
      <c r="H30" s="9">
        <f>91.95/205</f>
        <v>0.44853658536585367</v>
      </c>
      <c r="I30" s="6"/>
      <c r="J30" s="6"/>
      <c r="K30" s="6"/>
      <c r="L30" s="8"/>
      <c r="M30" s="6"/>
      <c r="N30" s="9"/>
      <c r="O30" s="149"/>
      <c r="P30" s="149"/>
    </row>
    <row r="31" spans="1:16" ht="40.5" x14ac:dyDescent="0.55000000000000004">
      <c r="A31" s="149"/>
      <c r="B31" s="149"/>
      <c r="C31" s="6">
        <v>940188</v>
      </c>
      <c r="D31" s="6">
        <v>460</v>
      </c>
      <c r="E31" s="10">
        <v>97949</v>
      </c>
      <c r="F31" s="8">
        <v>1200</v>
      </c>
      <c r="G31" s="6">
        <f>157+104+233+206</f>
        <v>700</v>
      </c>
      <c r="H31" s="9">
        <f>67.35/157</f>
        <v>0.42898089171974518</v>
      </c>
      <c r="I31" s="6">
        <v>940221</v>
      </c>
      <c r="J31" s="6">
        <v>451</v>
      </c>
      <c r="K31" s="6" t="s">
        <v>25</v>
      </c>
      <c r="L31" s="8">
        <v>52000</v>
      </c>
      <c r="M31" s="6">
        <f>156+150+225+205+196+211+199+251+204+200+194+199+204+195+203+188+201+200+282+199+196+195+196</f>
        <v>4649</v>
      </c>
      <c r="N31" s="9">
        <f>68.55/156</f>
        <v>0.43942307692307692</v>
      </c>
      <c r="O31" s="149"/>
      <c r="P31" s="149"/>
    </row>
    <row r="32" spans="1:16" ht="40.5" x14ac:dyDescent="0.55000000000000004">
      <c r="A32" s="149"/>
      <c r="B32" s="149"/>
      <c r="C32" s="6">
        <v>940189</v>
      </c>
      <c r="D32" s="6">
        <v>460</v>
      </c>
      <c r="E32" s="10">
        <v>97949</v>
      </c>
      <c r="F32" s="8">
        <v>1200</v>
      </c>
      <c r="G32" s="6">
        <f>210+191+214+205+174</f>
        <v>994</v>
      </c>
      <c r="H32" s="9">
        <f>91/210</f>
        <v>0.43333333333333335</v>
      </c>
      <c r="I32" s="6">
        <v>940222</v>
      </c>
      <c r="J32" s="6">
        <v>451</v>
      </c>
      <c r="K32" s="6" t="s">
        <v>26</v>
      </c>
      <c r="L32" s="8">
        <v>20000</v>
      </c>
      <c r="M32" s="6">
        <f>210+214+206+205+213+205+25+216</f>
        <v>1494</v>
      </c>
      <c r="N32" s="9">
        <f>92.3/210</f>
        <v>0.43952380952380948</v>
      </c>
      <c r="O32" s="149"/>
      <c r="P32" s="149"/>
    </row>
    <row r="33" spans="1:16" ht="40.5" x14ac:dyDescent="0.55000000000000004">
      <c r="A33" s="149"/>
      <c r="B33" s="149"/>
      <c r="C33" s="6"/>
      <c r="D33" s="6"/>
      <c r="E33" s="10"/>
      <c r="F33" s="8"/>
      <c r="G33" s="6"/>
      <c r="H33" s="9"/>
      <c r="I33" s="6"/>
      <c r="J33" s="6"/>
      <c r="K33" s="6"/>
      <c r="L33" s="8"/>
      <c r="M33" s="6"/>
      <c r="N33" s="9"/>
      <c r="O33" s="149"/>
      <c r="P33" s="149"/>
    </row>
    <row r="34" spans="1:16" ht="40.5" x14ac:dyDescent="0.55000000000000004">
      <c r="A34" s="149"/>
      <c r="B34" s="149"/>
      <c r="C34" s="6">
        <v>9240450</v>
      </c>
      <c r="D34" s="6" t="s">
        <v>27</v>
      </c>
      <c r="E34" s="10">
        <v>97822</v>
      </c>
      <c r="F34" s="8">
        <v>26000</v>
      </c>
      <c r="G34" s="6">
        <f>198+145+191+198+176+199+156+179+201+205+201+194+199+210+208+206+193+26+195+174+206+201+192+206+202+192+245+198+202+199+195+132+220+191+226+199+151+159+206+203+192+158</f>
        <v>7929</v>
      </c>
      <c r="H34" s="9">
        <f>98.4/198</f>
        <v>0.49696969696969701</v>
      </c>
      <c r="I34" s="6"/>
      <c r="J34" s="21"/>
      <c r="K34" s="21"/>
      <c r="L34" s="21"/>
      <c r="M34" s="6"/>
      <c r="N34" s="9"/>
      <c r="O34" s="149"/>
      <c r="P34" s="149"/>
    </row>
    <row r="35" spans="1:16" ht="40.5" x14ac:dyDescent="0.55000000000000004">
      <c r="A35" s="149"/>
      <c r="B35" s="149"/>
      <c r="C35" s="6"/>
      <c r="D35" s="6"/>
      <c r="E35" s="10"/>
      <c r="F35" s="8"/>
      <c r="G35" s="6"/>
      <c r="H35" s="9"/>
      <c r="I35" s="6"/>
      <c r="J35" s="6"/>
      <c r="K35" s="6"/>
      <c r="L35" s="8"/>
      <c r="M35" s="6"/>
      <c r="N35" s="9"/>
      <c r="O35" s="149"/>
      <c r="P35" s="149"/>
    </row>
    <row r="36" spans="1:16" ht="50.25" x14ac:dyDescent="0.55000000000000004">
      <c r="A36" s="149"/>
      <c r="B36" s="149"/>
      <c r="C36" s="23"/>
      <c r="D36" s="23"/>
      <c r="E36" s="23"/>
      <c r="F36" s="24">
        <f>SUM(F4:F35)</f>
        <v>58660</v>
      </c>
      <c r="G36" s="23">
        <f>SUM(G4:G35)</f>
        <v>23363</v>
      </c>
      <c r="H36" s="25"/>
      <c r="I36" s="23"/>
      <c r="J36" s="24"/>
      <c r="K36" s="23"/>
      <c r="L36" s="24">
        <f>SUM(L4:L35)</f>
        <v>79500</v>
      </c>
      <c r="M36" s="23">
        <f>SUM(M4:M35)</f>
        <v>15311</v>
      </c>
      <c r="N36" s="25"/>
      <c r="O36" s="149"/>
      <c r="P36" s="149"/>
    </row>
    <row r="37" spans="1:16" ht="50.25" x14ac:dyDescent="0.55000000000000004">
      <c r="A37" s="149"/>
      <c r="B37" s="149"/>
      <c r="C37" s="176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8"/>
      <c r="O37" s="149"/>
      <c r="P37" s="149"/>
    </row>
    <row r="38" spans="1:16" ht="50.25" x14ac:dyDescent="0.55000000000000004">
      <c r="A38" s="149"/>
      <c r="B38" s="14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1"/>
      <c r="O38" s="149"/>
      <c r="P38" s="149"/>
    </row>
    <row r="39" spans="1:16" ht="40.5" x14ac:dyDescent="0.55000000000000004">
      <c r="A39" s="149"/>
      <c r="B39" s="149"/>
      <c r="C39" s="170" t="s">
        <v>28</v>
      </c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2"/>
      <c r="O39" s="149"/>
      <c r="P39" s="149"/>
    </row>
    <row r="40" spans="1:16" ht="40.5" x14ac:dyDescent="0.55000000000000004">
      <c r="A40" s="149"/>
      <c r="B40" s="149"/>
      <c r="C40" s="173" t="str">
        <f>C2</f>
        <v>GREY STOCK ON DATE:- 04-12-2024</v>
      </c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5"/>
      <c r="O40" s="149"/>
      <c r="P40" s="149"/>
    </row>
    <row r="41" spans="1:16" ht="40.5" x14ac:dyDescent="0.55000000000000004">
      <c r="A41" s="149"/>
      <c r="B41" s="149"/>
      <c r="C41" s="1" t="s">
        <v>2</v>
      </c>
      <c r="D41" s="3" t="str">
        <f>+D3</f>
        <v>ORDER NO.</v>
      </c>
      <c r="E41" s="2" t="s">
        <v>4</v>
      </c>
      <c r="F41" s="3" t="str">
        <f>+F3</f>
        <v>ORDER  MTR</v>
      </c>
      <c r="G41" s="1" t="str">
        <f>+G3</f>
        <v>MTR.</v>
      </c>
      <c r="H41" s="4" t="s">
        <v>7</v>
      </c>
      <c r="I41" s="1" t="s">
        <v>2</v>
      </c>
      <c r="J41" s="3" t="str">
        <f>+J3</f>
        <v>ORDER NO.</v>
      </c>
      <c r="K41" s="2" t="s">
        <v>4</v>
      </c>
      <c r="L41" s="3" t="str">
        <f>+L3</f>
        <v>ORDER  MTR</v>
      </c>
      <c r="M41" s="1" t="s">
        <v>6</v>
      </c>
      <c r="N41" s="5" t="s">
        <v>7</v>
      </c>
      <c r="O41" s="149"/>
      <c r="P41" s="149"/>
    </row>
    <row r="42" spans="1:16" ht="40.5" x14ac:dyDescent="0.55000000000000004">
      <c r="A42" s="149"/>
      <c r="B42" s="149"/>
      <c r="C42" s="21" t="s">
        <v>29</v>
      </c>
      <c r="D42" s="21" t="s">
        <v>9</v>
      </c>
      <c r="E42" s="21">
        <v>97902</v>
      </c>
      <c r="F42" s="21">
        <v>800</v>
      </c>
      <c r="G42" s="21">
        <f>212+216+218+183+199+221+221+189-830</f>
        <v>829</v>
      </c>
      <c r="H42" s="9">
        <v>0.53</v>
      </c>
      <c r="I42" s="21">
        <v>940165</v>
      </c>
      <c r="J42" s="21">
        <v>360</v>
      </c>
      <c r="K42" s="21">
        <v>97920</v>
      </c>
      <c r="L42" s="6" t="s">
        <v>30</v>
      </c>
      <c r="M42" s="21">
        <f>208+195+193+195+159+256+196+196+149+196+195+193+197+195+195+198+187+191+203+194+208+203+261+140+168+203+202+179-3022</f>
        <v>2433</v>
      </c>
      <c r="N42" s="9">
        <v>0.44700000000000001</v>
      </c>
      <c r="O42" s="149"/>
      <c r="P42" s="149"/>
    </row>
    <row r="43" spans="1:16" ht="40.5" x14ac:dyDescent="0.55000000000000004">
      <c r="A43" s="149"/>
      <c r="B43" s="149"/>
      <c r="C43" s="21" t="s">
        <v>31</v>
      </c>
      <c r="D43" s="21" t="s">
        <v>9</v>
      </c>
      <c r="E43" s="21">
        <v>97902</v>
      </c>
      <c r="F43" s="21">
        <v>900</v>
      </c>
      <c r="G43" s="21">
        <f>209+148+280+241+211+219+209+282-921</f>
        <v>878</v>
      </c>
      <c r="H43" s="9">
        <v>0.53</v>
      </c>
      <c r="I43" s="21"/>
      <c r="J43" s="21"/>
      <c r="K43" s="21"/>
      <c r="L43" s="6"/>
      <c r="M43" s="21"/>
      <c r="N43" s="9"/>
      <c r="O43" s="149"/>
      <c r="P43" s="149"/>
    </row>
    <row r="44" spans="1:16" ht="40.5" x14ac:dyDescent="0.55000000000000004">
      <c r="A44" s="149"/>
      <c r="B44" s="149"/>
      <c r="C44" s="21"/>
      <c r="D44" s="21"/>
      <c r="E44" s="21"/>
      <c r="F44" s="21"/>
      <c r="G44" s="21"/>
      <c r="H44" s="9"/>
      <c r="I44" s="6">
        <v>9240219</v>
      </c>
      <c r="J44" s="10">
        <v>363</v>
      </c>
      <c r="K44" s="10">
        <v>97774</v>
      </c>
      <c r="L44" s="6" t="s">
        <v>32</v>
      </c>
      <c r="M44" s="6">
        <f>123</f>
        <v>123</v>
      </c>
      <c r="N44" s="9">
        <v>0.52100000000000002</v>
      </c>
      <c r="O44" s="149"/>
      <c r="P44" s="149"/>
    </row>
    <row r="45" spans="1:16" ht="40.5" x14ac:dyDescent="0.55000000000000004">
      <c r="A45" s="149"/>
      <c r="B45" s="149"/>
      <c r="C45" s="6" t="s">
        <v>33</v>
      </c>
      <c r="D45" s="6" t="s">
        <v>9</v>
      </c>
      <c r="E45" s="6">
        <v>1296</v>
      </c>
      <c r="F45" s="8" t="s">
        <v>9</v>
      </c>
      <c r="G45" s="6">
        <f>73+120+148</f>
        <v>341</v>
      </c>
      <c r="H45" s="9">
        <v>0.51200000000000001</v>
      </c>
      <c r="I45" s="20"/>
      <c r="J45" s="20"/>
      <c r="K45" s="20"/>
      <c r="L45" s="20"/>
      <c r="M45" s="20"/>
      <c r="N45" s="19"/>
      <c r="O45" s="149"/>
      <c r="P45" s="149"/>
    </row>
    <row r="46" spans="1:16" ht="40.5" x14ac:dyDescent="0.55000000000000004">
      <c r="A46" s="149"/>
      <c r="B46" s="149"/>
      <c r="C46" s="21"/>
      <c r="D46" s="21"/>
      <c r="E46" s="21"/>
      <c r="F46" s="21"/>
      <c r="G46" s="21"/>
      <c r="H46" s="9"/>
      <c r="I46" s="26">
        <v>9240724</v>
      </c>
      <c r="J46" s="27" t="s">
        <v>34</v>
      </c>
      <c r="K46" s="28">
        <v>97831</v>
      </c>
      <c r="L46" s="29" t="s">
        <v>35</v>
      </c>
      <c r="M46" s="26">
        <f>260+245+178+195+193+212+194+212+260</f>
        <v>1949</v>
      </c>
      <c r="N46" s="30">
        <v>0.54800000000000004</v>
      </c>
      <c r="O46" s="149"/>
      <c r="P46" s="149"/>
    </row>
    <row r="47" spans="1:16" ht="40.5" x14ac:dyDescent="0.7">
      <c r="A47" s="149"/>
      <c r="B47" s="149"/>
      <c r="C47" s="26">
        <v>930978</v>
      </c>
      <c r="D47" s="26" t="s">
        <v>36</v>
      </c>
      <c r="E47" s="26">
        <v>97915</v>
      </c>
      <c r="F47" s="31" t="s">
        <v>37</v>
      </c>
      <c r="G47" s="26">
        <f>203+184+195+191+194+181+191+205+186+136+225+194+195+197+200+205+200+193+196+196+193+190+209+196+191+128+204</f>
        <v>5178</v>
      </c>
      <c r="H47" s="32">
        <v>0.51800000000000002</v>
      </c>
      <c r="I47" s="14"/>
      <c r="J47" s="14"/>
      <c r="K47" s="14"/>
      <c r="L47" s="14"/>
      <c r="M47" s="14"/>
      <c r="N47" s="9"/>
      <c r="O47" s="149"/>
      <c r="P47" s="149"/>
    </row>
    <row r="48" spans="1:16" ht="40.5" x14ac:dyDescent="0.55000000000000004">
      <c r="A48" s="149"/>
      <c r="B48" s="149"/>
      <c r="C48" s="6"/>
      <c r="D48" s="10"/>
      <c r="E48" s="10"/>
      <c r="F48" s="6"/>
      <c r="G48" s="6"/>
      <c r="H48" s="9"/>
      <c r="I48" s="20">
        <v>9240743</v>
      </c>
      <c r="J48" s="21" t="s">
        <v>38</v>
      </c>
      <c r="K48" s="21">
        <v>97958</v>
      </c>
      <c r="L48" s="6" t="s">
        <v>39</v>
      </c>
      <c r="M48" s="20">
        <f>165+126+152</f>
        <v>443</v>
      </c>
      <c r="N48" s="9">
        <f>103.45/198</f>
        <v>0.52247474747474754</v>
      </c>
      <c r="O48" s="149"/>
      <c r="P48" s="149"/>
    </row>
    <row r="49" spans="1:16" ht="40.5" x14ac:dyDescent="0.55000000000000004">
      <c r="A49" s="149"/>
      <c r="B49" s="149"/>
      <c r="C49" s="20">
        <v>930996</v>
      </c>
      <c r="D49" s="21">
        <v>431</v>
      </c>
      <c r="E49" s="21">
        <v>97881</v>
      </c>
      <c r="F49" s="6" t="s">
        <v>40</v>
      </c>
      <c r="G49" s="20">
        <f>209+207+206+176+120+247+201+58-1424</f>
        <v>0</v>
      </c>
      <c r="H49" s="20">
        <v>0.49399999999999999</v>
      </c>
      <c r="I49" s="20"/>
      <c r="J49" s="21"/>
      <c r="K49" s="21"/>
      <c r="L49" s="6"/>
      <c r="M49" s="20"/>
      <c r="N49" s="9"/>
      <c r="O49" s="149"/>
      <c r="P49" s="149"/>
    </row>
    <row r="50" spans="1:16" ht="40.5" x14ac:dyDescent="0.55000000000000004">
      <c r="A50" s="149"/>
      <c r="B50" s="149"/>
      <c r="C50" s="20">
        <v>9301141</v>
      </c>
      <c r="D50" s="21">
        <v>431</v>
      </c>
      <c r="E50" s="21">
        <v>97881</v>
      </c>
      <c r="F50" s="6" t="s">
        <v>41</v>
      </c>
      <c r="G50" s="20">
        <f>196+205+211+189+194+206+203+176+171+201+240+207+296+212+49-2956</f>
        <v>0</v>
      </c>
      <c r="H50" s="19">
        <f>92.85/194</f>
        <v>0.47860824742268038</v>
      </c>
      <c r="I50" s="26" t="s">
        <v>42</v>
      </c>
      <c r="J50" s="28">
        <v>437</v>
      </c>
      <c r="K50" s="28" t="s">
        <v>9</v>
      </c>
      <c r="L50" s="33" t="s">
        <v>43</v>
      </c>
      <c r="M50" s="26">
        <f>199+197+183+199+205+198+186+210+211+156+192+261-2136+207+219+149+181+217+211+221+170+141</f>
        <v>1977</v>
      </c>
      <c r="N50" s="30">
        <f>95.7/199</f>
        <v>0.48090452261306532</v>
      </c>
      <c r="O50" s="149"/>
      <c r="P50" s="149"/>
    </row>
    <row r="51" spans="1:16" ht="40.5" x14ac:dyDescent="0.55000000000000004">
      <c r="A51" s="149"/>
      <c r="B51" s="149"/>
      <c r="C51" s="20">
        <v>9301041</v>
      </c>
      <c r="D51" s="21">
        <v>431</v>
      </c>
      <c r="E51" s="21">
        <v>97881</v>
      </c>
      <c r="F51" s="6" t="s">
        <v>44</v>
      </c>
      <c r="G51" s="20">
        <f>272+230+247</f>
        <v>749</v>
      </c>
      <c r="H51" s="34">
        <f>99.65/206</f>
        <v>0.48373786407766994</v>
      </c>
      <c r="I51" s="20" t="s">
        <v>45</v>
      </c>
      <c r="J51" s="21">
        <v>437</v>
      </c>
      <c r="K51" s="21" t="s">
        <v>9</v>
      </c>
      <c r="L51" s="6" t="s">
        <v>46</v>
      </c>
      <c r="M51" s="20">
        <f>261+196+160+161+193+164</f>
        <v>1135</v>
      </c>
      <c r="N51" s="9">
        <f>101.35/206</f>
        <v>0.49199029126213589</v>
      </c>
      <c r="O51" s="149"/>
      <c r="P51" s="149"/>
    </row>
    <row r="52" spans="1:16" ht="40.5" x14ac:dyDescent="0.55000000000000004">
      <c r="A52" s="149"/>
      <c r="B52" s="149"/>
      <c r="C52" s="20">
        <v>930998</v>
      </c>
      <c r="D52" s="21">
        <v>431</v>
      </c>
      <c r="E52" s="21">
        <v>97881</v>
      </c>
      <c r="F52" s="6" t="s">
        <v>47</v>
      </c>
      <c r="G52" s="20">
        <v>0</v>
      </c>
      <c r="H52" s="19">
        <f>104.75/217</f>
        <v>0.48271889400921658</v>
      </c>
      <c r="I52" s="6"/>
      <c r="J52" s="10"/>
      <c r="K52" s="10"/>
      <c r="L52" s="6"/>
      <c r="M52" s="6"/>
      <c r="N52" s="9"/>
      <c r="O52" s="149"/>
      <c r="P52" s="149"/>
    </row>
    <row r="53" spans="1:16" ht="52.5" x14ac:dyDescent="0.55000000000000004">
      <c r="A53" s="149"/>
      <c r="B53" s="149"/>
      <c r="C53" s="20"/>
      <c r="D53" s="21"/>
      <c r="E53" s="21"/>
      <c r="F53" s="6"/>
      <c r="G53" s="20"/>
      <c r="H53" s="34"/>
      <c r="I53" s="33">
        <v>920165</v>
      </c>
      <c r="J53" s="31">
        <v>368</v>
      </c>
      <c r="K53" s="35" t="s">
        <v>48</v>
      </c>
      <c r="L53" s="33">
        <v>6000</v>
      </c>
      <c r="M53" s="33">
        <f>209+193+178+215+201+242+177+201+191+205+188+196+113+204+206+194+187+173+228+188+212+196+180+193+194+192+196+193+222+228+108</f>
        <v>6003</v>
      </c>
      <c r="N53" s="30">
        <v>0.49099999999999999</v>
      </c>
      <c r="O53" s="149"/>
      <c r="P53" s="149"/>
    </row>
    <row r="54" spans="1:16" ht="40.5" x14ac:dyDescent="0.55000000000000004">
      <c r="A54" s="149"/>
      <c r="B54" s="149"/>
      <c r="C54" s="20">
        <v>940207</v>
      </c>
      <c r="D54" s="21">
        <v>441</v>
      </c>
      <c r="E54" s="21" t="s">
        <v>9</v>
      </c>
      <c r="F54" s="6">
        <v>7000</v>
      </c>
      <c r="G54" s="20" t="s">
        <v>9</v>
      </c>
      <c r="H54" s="9">
        <f>94.2/207</f>
        <v>0.45507246376811594</v>
      </c>
      <c r="I54" s="20"/>
      <c r="J54" s="21"/>
      <c r="K54" s="21"/>
      <c r="L54" s="6"/>
      <c r="M54" s="20"/>
      <c r="N54" s="9"/>
      <c r="O54" s="149"/>
      <c r="P54" s="149"/>
    </row>
    <row r="55" spans="1:16" ht="40.5" x14ac:dyDescent="0.55000000000000004">
      <c r="A55" s="149"/>
      <c r="B55" s="149"/>
      <c r="C55" s="20"/>
      <c r="D55" s="6"/>
      <c r="E55" s="6"/>
      <c r="F55" s="15"/>
      <c r="G55" s="20"/>
      <c r="H55" s="9"/>
      <c r="I55" s="20">
        <v>9240771</v>
      </c>
      <c r="J55" s="21">
        <v>428</v>
      </c>
      <c r="K55" s="21" t="s">
        <v>9</v>
      </c>
      <c r="L55" s="6">
        <v>1200</v>
      </c>
      <c r="M55" s="20">
        <f>233+180+147+177+260+173</f>
        <v>1170</v>
      </c>
      <c r="N55" s="9">
        <v>0.41499999999999998</v>
      </c>
      <c r="O55" s="149"/>
      <c r="P55" s="149"/>
    </row>
    <row r="56" spans="1:16" ht="40.5" x14ac:dyDescent="0.55000000000000004">
      <c r="A56" s="149"/>
      <c r="B56" s="149"/>
      <c r="C56" s="20">
        <v>9220150</v>
      </c>
      <c r="D56" s="21">
        <v>456</v>
      </c>
      <c r="E56" s="21" t="s">
        <v>49</v>
      </c>
      <c r="F56" s="6">
        <v>6000</v>
      </c>
      <c r="G56" s="20">
        <f>124+170+168+195+302+227+238+167+83+124+138+252+248+302+223+245+156+152+188+132+274+291+274+253</f>
        <v>4926</v>
      </c>
      <c r="H56" s="9">
        <f>42.45/124</f>
        <v>0.34233870967741936</v>
      </c>
      <c r="I56" s="20">
        <v>9240772</v>
      </c>
      <c r="J56" s="21">
        <v>428</v>
      </c>
      <c r="K56" s="21" t="s">
        <v>9</v>
      </c>
      <c r="L56" s="6">
        <v>1200</v>
      </c>
      <c r="M56" s="20">
        <f>107+148+140+294+211+277</f>
        <v>1177</v>
      </c>
      <c r="N56" s="9">
        <f>42.6/107</f>
        <v>0.39813084112149533</v>
      </c>
      <c r="O56" s="149"/>
      <c r="P56" s="149"/>
    </row>
    <row r="57" spans="1:16" ht="40.5" x14ac:dyDescent="0.55000000000000004">
      <c r="A57" s="149"/>
      <c r="B57" s="149"/>
      <c r="C57" s="20"/>
      <c r="D57" s="21"/>
      <c r="E57" s="21"/>
      <c r="F57" s="6"/>
      <c r="G57" s="20"/>
      <c r="H57" s="9"/>
      <c r="I57" s="20">
        <v>9240773</v>
      </c>
      <c r="J57" s="21">
        <v>428</v>
      </c>
      <c r="K57" s="21" t="s">
        <v>9</v>
      </c>
      <c r="L57" s="6">
        <v>1200</v>
      </c>
      <c r="M57" s="20">
        <f>150+153+156+261+229+163+65</f>
        <v>1177</v>
      </c>
      <c r="N57" s="9">
        <f>62.35/150</f>
        <v>0.41566666666666668</v>
      </c>
      <c r="O57" s="149"/>
      <c r="P57" s="149"/>
    </row>
    <row r="58" spans="1:16" ht="40.5" x14ac:dyDescent="0.55000000000000004">
      <c r="A58" s="149"/>
      <c r="B58" s="149"/>
      <c r="C58" s="20">
        <v>9301148</v>
      </c>
      <c r="D58" s="21">
        <v>412</v>
      </c>
      <c r="E58" s="21" t="s">
        <v>9</v>
      </c>
      <c r="F58" s="6">
        <v>2000</v>
      </c>
      <c r="G58" s="20">
        <f>185+204+197+178+175</f>
        <v>939</v>
      </c>
      <c r="H58" s="9">
        <v>0.47799999999999998</v>
      </c>
      <c r="I58" s="20">
        <v>9240774</v>
      </c>
      <c r="J58" s="21">
        <v>428</v>
      </c>
      <c r="K58" s="21" t="s">
        <v>9</v>
      </c>
      <c r="L58" s="6">
        <v>1200</v>
      </c>
      <c r="M58" s="20">
        <f>155+191+56+36</f>
        <v>438</v>
      </c>
      <c r="N58" s="9">
        <f>77.8/191</f>
        <v>0.40732984293193714</v>
      </c>
      <c r="O58" s="149"/>
      <c r="P58" s="149"/>
    </row>
    <row r="59" spans="1:16" ht="40.5" x14ac:dyDescent="0.55000000000000004">
      <c r="A59" s="149"/>
      <c r="B59" s="149"/>
      <c r="C59" s="20"/>
      <c r="D59" s="21"/>
      <c r="E59" s="21"/>
      <c r="F59" s="6"/>
      <c r="G59" s="20"/>
      <c r="H59" s="9"/>
      <c r="I59" s="20">
        <v>9240775</v>
      </c>
      <c r="J59" s="21">
        <v>428</v>
      </c>
      <c r="K59" s="21" t="s">
        <v>9</v>
      </c>
      <c r="L59" s="6">
        <v>1200</v>
      </c>
      <c r="M59" s="20">
        <f>283+154+212+281</f>
        <v>930</v>
      </c>
      <c r="N59" s="9">
        <v>0.39100000000000001</v>
      </c>
      <c r="O59" s="149"/>
      <c r="P59" s="149"/>
    </row>
    <row r="60" spans="1:16" ht="40.5" x14ac:dyDescent="0.55000000000000004">
      <c r="A60" s="149"/>
      <c r="B60" s="149"/>
      <c r="C60" s="20">
        <v>916102</v>
      </c>
      <c r="D60" s="21">
        <v>422</v>
      </c>
      <c r="E60" s="21" t="s">
        <v>9</v>
      </c>
      <c r="F60" s="6">
        <v>6500</v>
      </c>
      <c r="G60" s="20" t="s">
        <v>9</v>
      </c>
      <c r="H60" s="9" t="s">
        <v>9</v>
      </c>
      <c r="I60" s="20"/>
      <c r="J60" s="21"/>
      <c r="K60" s="21"/>
      <c r="L60" s="6"/>
      <c r="M60" s="20"/>
      <c r="N60" s="9"/>
      <c r="O60" s="149"/>
      <c r="P60" s="149"/>
    </row>
    <row r="61" spans="1:16" ht="40.5" x14ac:dyDescent="0.55000000000000004">
      <c r="A61" s="149"/>
      <c r="B61" s="149"/>
      <c r="C61" s="20"/>
      <c r="D61" s="21"/>
      <c r="E61" s="21"/>
      <c r="F61" s="6"/>
      <c r="G61" s="20"/>
      <c r="H61" s="9"/>
      <c r="I61" s="26">
        <v>9230278</v>
      </c>
      <c r="J61" s="28">
        <v>413</v>
      </c>
      <c r="K61" s="28" t="s">
        <v>9</v>
      </c>
      <c r="L61" s="33">
        <v>1000</v>
      </c>
      <c r="M61" s="26">
        <f>200+195+218+108+143+159</f>
        <v>1023</v>
      </c>
      <c r="N61" s="30">
        <f>91.2/200</f>
        <v>0.45600000000000002</v>
      </c>
      <c r="O61" s="149"/>
      <c r="P61" s="149"/>
    </row>
    <row r="62" spans="1:16" ht="40.5" x14ac:dyDescent="0.55000000000000004">
      <c r="A62" s="149"/>
      <c r="B62" s="149"/>
      <c r="C62" s="26">
        <v>916103</v>
      </c>
      <c r="D62" s="28">
        <v>423</v>
      </c>
      <c r="E62" s="28" t="s">
        <v>9</v>
      </c>
      <c r="F62" s="33">
        <v>5500</v>
      </c>
      <c r="G62" s="26">
        <f>215+154+208+178+213+245+181+213+257+196+236+277+197+212+279+293+270+241+202+272+339</f>
        <v>4878</v>
      </c>
      <c r="H62" s="30">
        <v>0.371</v>
      </c>
      <c r="I62" s="26">
        <v>9230280</v>
      </c>
      <c r="J62" s="28">
        <v>413</v>
      </c>
      <c r="K62" s="28" t="s">
        <v>9</v>
      </c>
      <c r="L62" s="33">
        <v>1000</v>
      </c>
      <c r="M62" s="26">
        <f>180+26+214+213+193+103+93</f>
        <v>1022</v>
      </c>
      <c r="N62" s="30">
        <v>0.45800000000000002</v>
      </c>
      <c r="O62" s="149"/>
      <c r="P62" s="149"/>
    </row>
    <row r="63" spans="1:16" ht="40.5" x14ac:dyDescent="0.55000000000000004">
      <c r="A63" s="149"/>
      <c r="B63" s="149"/>
      <c r="C63" s="20"/>
      <c r="D63" s="21"/>
      <c r="E63" s="21"/>
      <c r="F63" s="6"/>
      <c r="G63" s="20"/>
      <c r="H63" s="9"/>
      <c r="I63" s="26">
        <v>9230282</v>
      </c>
      <c r="J63" s="28">
        <v>413</v>
      </c>
      <c r="K63" s="28" t="s">
        <v>9</v>
      </c>
      <c r="L63" s="33">
        <v>1000</v>
      </c>
      <c r="M63" s="26">
        <f>195+93+280+192+134+126</f>
        <v>1020</v>
      </c>
      <c r="N63" s="30">
        <f>88.15/195</f>
        <v>0.45205128205128209</v>
      </c>
      <c r="O63" s="149"/>
      <c r="P63" s="149"/>
    </row>
    <row r="64" spans="1:16" ht="40.5" x14ac:dyDescent="0.55000000000000004">
      <c r="A64" s="149"/>
      <c r="B64" s="149"/>
      <c r="C64" s="20">
        <v>9220146</v>
      </c>
      <c r="D64" s="21">
        <v>426</v>
      </c>
      <c r="E64" s="21" t="s">
        <v>9</v>
      </c>
      <c r="F64" s="6">
        <v>1200</v>
      </c>
      <c r="G64" s="20">
        <f>252+208+120+127+36+186</f>
        <v>929</v>
      </c>
      <c r="H64" s="9">
        <f>94/252</f>
        <v>0.37301587301587302</v>
      </c>
      <c r="I64" s="26">
        <v>9230283</v>
      </c>
      <c r="J64" s="28">
        <v>413</v>
      </c>
      <c r="K64" s="28" t="s">
        <v>9</v>
      </c>
      <c r="L64" s="33">
        <v>1000</v>
      </c>
      <c r="M64" s="26">
        <f>78+201+199+191+184+142+35</f>
        <v>1030</v>
      </c>
      <c r="N64" s="30">
        <f>35.05/78</f>
        <v>0.44935897435897432</v>
      </c>
      <c r="O64" s="149"/>
      <c r="P64" s="149"/>
    </row>
    <row r="65" spans="1:16" ht="40.5" x14ac:dyDescent="0.55000000000000004">
      <c r="A65" s="149"/>
      <c r="B65" s="149"/>
      <c r="C65" s="20"/>
      <c r="D65" s="21"/>
      <c r="E65" s="21"/>
      <c r="F65" s="6"/>
      <c r="G65" s="20"/>
      <c r="H65" s="9"/>
      <c r="I65" s="20"/>
      <c r="J65" s="21"/>
      <c r="K65" s="21"/>
      <c r="L65" s="6"/>
      <c r="M65" s="20"/>
      <c r="N65" s="9"/>
      <c r="O65" s="149"/>
      <c r="P65" s="149"/>
    </row>
    <row r="66" spans="1:16" ht="40.5" x14ac:dyDescent="0.55000000000000004">
      <c r="A66" s="149"/>
      <c r="B66" s="149"/>
      <c r="C66" s="20">
        <v>9301029</v>
      </c>
      <c r="D66" s="21">
        <v>453</v>
      </c>
      <c r="E66" s="21" t="s">
        <v>9</v>
      </c>
      <c r="F66" s="6" t="s">
        <v>50</v>
      </c>
      <c r="G66" s="20">
        <f>181+158+160</f>
        <v>499</v>
      </c>
      <c r="H66" s="9">
        <v>0.51</v>
      </c>
      <c r="I66" s="26">
        <v>9220145</v>
      </c>
      <c r="J66" s="28">
        <v>447</v>
      </c>
      <c r="K66" s="28">
        <v>8004</v>
      </c>
      <c r="L66" s="33">
        <v>6000</v>
      </c>
      <c r="M66" s="26">
        <f>190+264+220+164+199+240+280+312+201+217+214+217+243+246+276+259+239+286+216+180+153+240+294+108</f>
        <v>5458</v>
      </c>
      <c r="N66" s="30">
        <f>64.65/190</f>
        <v>0.34026315789473688</v>
      </c>
      <c r="O66" s="149"/>
      <c r="P66" s="149"/>
    </row>
    <row r="67" spans="1:16" ht="40.5" x14ac:dyDescent="0.55000000000000004">
      <c r="A67" s="149"/>
      <c r="B67" s="149"/>
      <c r="C67" s="20"/>
      <c r="D67" s="21"/>
      <c r="E67" s="21"/>
      <c r="F67" s="6"/>
      <c r="G67" s="20"/>
      <c r="H67" s="9"/>
      <c r="I67" s="20"/>
      <c r="J67" s="21"/>
      <c r="K67" s="21"/>
      <c r="L67" s="6"/>
      <c r="M67" s="20"/>
      <c r="N67" s="9"/>
      <c r="O67" s="149"/>
      <c r="P67" s="149"/>
    </row>
    <row r="68" spans="1:16" ht="40.5" x14ac:dyDescent="0.55000000000000004">
      <c r="A68" s="149"/>
      <c r="B68" s="149"/>
      <c r="C68" s="20">
        <v>9301080</v>
      </c>
      <c r="D68" s="21">
        <v>454</v>
      </c>
      <c r="E68" s="21">
        <v>97952</v>
      </c>
      <c r="F68" s="6" t="s">
        <v>51</v>
      </c>
      <c r="G68" s="20">
        <f>147+271</f>
        <v>418</v>
      </c>
      <c r="H68" s="9">
        <f>78.9/146</f>
        <v>0.54041095890410962</v>
      </c>
      <c r="I68" s="20">
        <v>9301011</v>
      </c>
      <c r="J68" s="21">
        <v>450</v>
      </c>
      <c r="K68" s="21">
        <v>97911</v>
      </c>
      <c r="L68" s="6">
        <v>1050</v>
      </c>
      <c r="M68" s="20">
        <f>223+175+195+193+193+90</f>
        <v>1069</v>
      </c>
      <c r="N68" s="9">
        <f>116.2/223</f>
        <v>0.52107623318385654</v>
      </c>
      <c r="O68" s="149"/>
      <c r="P68" s="149"/>
    </row>
    <row r="69" spans="1:16" ht="40.5" x14ac:dyDescent="0.55000000000000004">
      <c r="A69" s="149"/>
      <c r="B69" s="149"/>
      <c r="C69" s="20"/>
      <c r="D69" s="21"/>
      <c r="E69" s="21"/>
      <c r="F69" s="6"/>
      <c r="G69" s="20"/>
      <c r="H69" s="9"/>
      <c r="I69" s="20">
        <v>9301012</v>
      </c>
      <c r="J69" s="21">
        <v>450</v>
      </c>
      <c r="K69" s="21">
        <v>97911</v>
      </c>
      <c r="L69" s="6">
        <v>1050</v>
      </c>
      <c r="M69" s="20">
        <f>198+121+176+176+180</f>
        <v>851</v>
      </c>
      <c r="N69" s="9">
        <f>103.65/198</f>
        <v>0.52348484848484855</v>
      </c>
      <c r="O69" s="149"/>
      <c r="P69" s="149"/>
    </row>
    <row r="70" spans="1:16" ht="40.5" x14ac:dyDescent="0.55000000000000004">
      <c r="A70" s="149"/>
      <c r="B70" s="149"/>
      <c r="C70" s="20">
        <v>9240253</v>
      </c>
      <c r="D70" s="21">
        <v>464</v>
      </c>
      <c r="E70" s="21">
        <v>97771</v>
      </c>
      <c r="F70" s="6">
        <v>2000</v>
      </c>
      <c r="G70" s="20">
        <f>64+115+163+127+173+125+134+132+160+113</f>
        <v>1306</v>
      </c>
      <c r="H70" s="9">
        <f>71.6/115</f>
        <v>0.62260869565217392</v>
      </c>
      <c r="I70" s="20">
        <v>9301014</v>
      </c>
      <c r="J70" s="21">
        <v>450</v>
      </c>
      <c r="K70" s="21">
        <v>97911</v>
      </c>
      <c r="L70" s="6">
        <v>1050</v>
      </c>
      <c r="M70" s="20">
        <f>188+155+160+133+65+155</f>
        <v>856</v>
      </c>
      <c r="N70" s="9">
        <f>98.65/188</f>
        <v>0.52473404255319156</v>
      </c>
      <c r="O70" s="149"/>
      <c r="P70" s="149"/>
    </row>
    <row r="71" spans="1:16" ht="40.5" x14ac:dyDescent="0.55000000000000004">
      <c r="A71" s="149"/>
      <c r="B71" s="149"/>
      <c r="C71" s="20"/>
      <c r="D71" s="21"/>
      <c r="E71" s="21"/>
      <c r="F71" s="6"/>
      <c r="G71" s="20"/>
      <c r="H71" s="9"/>
      <c r="I71" s="20">
        <v>9301015</v>
      </c>
      <c r="J71" s="21">
        <v>450</v>
      </c>
      <c r="K71" s="21">
        <v>97911</v>
      </c>
      <c r="L71" s="6">
        <v>1050</v>
      </c>
      <c r="M71" s="20" t="s">
        <v>9</v>
      </c>
      <c r="N71" s="9" t="s">
        <v>9</v>
      </c>
      <c r="O71" s="149"/>
      <c r="P71" s="149"/>
    </row>
    <row r="72" spans="1:16" ht="40.5" x14ac:dyDescent="0.55000000000000004">
      <c r="A72" s="149"/>
      <c r="B72" s="149"/>
      <c r="C72" s="20">
        <v>930886</v>
      </c>
      <c r="D72" s="21">
        <v>466</v>
      </c>
      <c r="E72" s="21">
        <v>97873</v>
      </c>
      <c r="F72" s="6">
        <v>900</v>
      </c>
      <c r="G72" s="20" t="s">
        <v>9</v>
      </c>
      <c r="H72" s="9" t="s">
        <v>9</v>
      </c>
      <c r="I72" s="20">
        <v>9301016</v>
      </c>
      <c r="J72" s="21">
        <v>450</v>
      </c>
      <c r="K72" s="21">
        <v>97911</v>
      </c>
      <c r="L72" s="6">
        <v>1050</v>
      </c>
      <c r="M72" s="20" t="s">
        <v>9</v>
      </c>
      <c r="N72" s="9" t="s">
        <v>9</v>
      </c>
      <c r="O72" s="149"/>
      <c r="P72" s="149"/>
    </row>
    <row r="73" spans="1:16" ht="40.5" x14ac:dyDescent="0.55000000000000004">
      <c r="A73" s="149"/>
      <c r="B73" s="149"/>
      <c r="C73" s="20">
        <v>930884</v>
      </c>
      <c r="D73" s="21">
        <v>466</v>
      </c>
      <c r="E73" s="21">
        <v>97873</v>
      </c>
      <c r="F73" s="6">
        <v>1100</v>
      </c>
      <c r="G73" s="20">
        <f>238</f>
        <v>238</v>
      </c>
      <c r="H73" s="9">
        <f>121.2/238</f>
        <v>0.50924369747899156</v>
      </c>
      <c r="I73" s="20">
        <v>9301079</v>
      </c>
      <c r="J73" s="21">
        <v>450</v>
      </c>
      <c r="K73" s="21">
        <v>97911</v>
      </c>
      <c r="L73" s="6">
        <v>900</v>
      </c>
      <c r="M73" s="20" t="s">
        <v>9</v>
      </c>
      <c r="N73" s="9" t="s">
        <v>9</v>
      </c>
      <c r="O73" s="149"/>
      <c r="P73" s="149"/>
    </row>
    <row r="74" spans="1:16" ht="40.5" x14ac:dyDescent="0.55000000000000004">
      <c r="A74" s="149"/>
      <c r="B74" s="149"/>
      <c r="C74" s="20">
        <v>930976</v>
      </c>
      <c r="D74" s="21">
        <v>466</v>
      </c>
      <c r="E74" s="21">
        <v>97873</v>
      </c>
      <c r="F74" s="6">
        <v>1100</v>
      </c>
      <c r="G74" s="20" t="s">
        <v>9</v>
      </c>
      <c r="H74" s="9" t="s">
        <v>9</v>
      </c>
      <c r="I74" s="20"/>
      <c r="J74" s="21"/>
      <c r="K74" s="21"/>
      <c r="L74" s="6"/>
      <c r="M74" s="20"/>
      <c r="N74" s="9"/>
      <c r="O74" s="149"/>
      <c r="P74" s="149"/>
    </row>
    <row r="75" spans="1:16" ht="40.5" x14ac:dyDescent="0.55000000000000004">
      <c r="A75" s="149"/>
      <c r="B75" s="149"/>
      <c r="C75" s="20">
        <v>930981</v>
      </c>
      <c r="D75" s="21">
        <v>466</v>
      </c>
      <c r="E75" s="21">
        <v>97873</v>
      </c>
      <c r="F75" s="6">
        <v>1100</v>
      </c>
      <c r="G75" s="20" t="s">
        <v>9</v>
      </c>
      <c r="H75" s="9" t="s">
        <v>9</v>
      </c>
      <c r="I75" s="20">
        <v>9240704</v>
      </c>
      <c r="J75" s="21">
        <v>463</v>
      </c>
      <c r="K75" s="21" t="s">
        <v>9</v>
      </c>
      <c r="L75" s="6">
        <v>3000</v>
      </c>
      <c r="M75" s="20">
        <f>194+172+175+63+137+196+194+190+177+173+181</f>
        <v>1852</v>
      </c>
      <c r="N75" s="9">
        <f>92.55/194</f>
        <v>0.47706185567010306</v>
      </c>
      <c r="O75" s="149"/>
      <c r="P75" s="149"/>
    </row>
    <row r="76" spans="1:16" ht="40.5" x14ac:dyDescent="0.55000000000000004">
      <c r="A76" s="149"/>
      <c r="B76" s="149"/>
      <c r="C76" s="20">
        <v>9301020</v>
      </c>
      <c r="D76" s="21">
        <v>466</v>
      </c>
      <c r="E76" s="21">
        <v>97873</v>
      </c>
      <c r="F76" s="6">
        <v>1100</v>
      </c>
      <c r="G76" s="20">
        <f>197</f>
        <v>197</v>
      </c>
      <c r="H76" s="9">
        <f>100.8/197</f>
        <v>0.51167512690355332</v>
      </c>
      <c r="I76" s="20">
        <v>9240699</v>
      </c>
      <c r="J76" s="21">
        <v>463</v>
      </c>
      <c r="K76" s="21" t="s">
        <v>9</v>
      </c>
      <c r="L76" s="6">
        <v>1000</v>
      </c>
      <c r="M76" s="20">
        <f>74+139+188+196+196+204</f>
        <v>997</v>
      </c>
      <c r="N76" s="9">
        <v>0.496</v>
      </c>
      <c r="O76" s="149"/>
      <c r="P76" s="149"/>
    </row>
    <row r="77" spans="1:16" ht="40.5" x14ac:dyDescent="0.55000000000000004">
      <c r="A77" s="149"/>
      <c r="B77" s="149"/>
      <c r="C77" s="20"/>
      <c r="D77" s="21"/>
      <c r="E77" s="21"/>
      <c r="F77" s="6"/>
      <c r="G77" s="20"/>
      <c r="H77" s="9"/>
      <c r="I77" s="20"/>
      <c r="J77" s="21"/>
      <c r="K77" s="21"/>
      <c r="L77" s="6"/>
      <c r="M77" s="20"/>
      <c r="N77" s="9"/>
      <c r="O77" s="149"/>
      <c r="P77" s="149"/>
    </row>
    <row r="78" spans="1:16" ht="40.5" x14ac:dyDescent="0.55000000000000004">
      <c r="A78" s="149"/>
      <c r="B78" s="149"/>
      <c r="C78" s="20">
        <v>930996</v>
      </c>
      <c r="D78" s="21">
        <v>459</v>
      </c>
      <c r="E78" s="21">
        <v>97881</v>
      </c>
      <c r="F78" s="6">
        <v>1800</v>
      </c>
      <c r="G78" s="20">
        <f>194</f>
        <v>194</v>
      </c>
      <c r="H78" s="9">
        <f>93.5/194</f>
        <v>0.48195876288659795</v>
      </c>
      <c r="I78" s="20">
        <v>940215</v>
      </c>
      <c r="J78" s="21">
        <v>461</v>
      </c>
      <c r="K78" s="21">
        <v>97967</v>
      </c>
      <c r="L78" s="6">
        <v>2000</v>
      </c>
      <c r="M78" s="20">
        <f>196+198+211</f>
        <v>605</v>
      </c>
      <c r="N78" s="9">
        <f>87.9/196</f>
        <v>0.44846938775510209</v>
      </c>
      <c r="O78" s="149"/>
      <c r="P78" s="149"/>
    </row>
    <row r="79" spans="1:16" ht="40.5" x14ac:dyDescent="0.55000000000000004">
      <c r="A79" s="149"/>
      <c r="B79" s="149"/>
      <c r="C79" s="20">
        <v>930997</v>
      </c>
      <c r="D79" s="21">
        <v>459</v>
      </c>
      <c r="E79" s="21">
        <v>97881</v>
      </c>
      <c r="F79" s="6">
        <v>1800</v>
      </c>
      <c r="G79" s="20" t="s">
        <v>9</v>
      </c>
      <c r="H79" s="9" t="s">
        <v>9</v>
      </c>
      <c r="I79" s="20">
        <v>940216</v>
      </c>
      <c r="J79" s="21">
        <v>461</v>
      </c>
      <c r="K79" s="21">
        <v>97967</v>
      </c>
      <c r="L79" s="6">
        <v>2000</v>
      </c>
      <c r="M79" s="20">
        <f>110+216+194</f>
        <v>520</v>
      </c>
      <c r="N79" s="9">
        <f>49.45/110</f>
        <v>0.44954545454545458</v>
      </c>
      <c r="O79" s="149"/>
      <c r="P79" s="149"/>
    </row>
    <row r="80" spans="1:16" ht="40.5" x14ac:dyDescent="0.55000000000000004">
      <c r="A80" s="149"/>
      <c r="B80" s="149"/>
      <c r="C80" s="20">
        <v>930998</v>
      </c>
      <c r="D80" s="21">
        <v>459</v>
      </c>
      <c r="E80" s="21">
        <v>97881</v>
      </c>
      <c r="F80" s="6">
        <v>1800</v>
      </c>
      <c r="G80" s="20" t="s">
        <v>9</v>
      </c>
      <c r="H80" s="9" t="s">
        <v>9</v>
      </c>
      <c r="I80" s="20">
        <v>940228</v>
      </c>
      <c r="J80" s="21">
        <v>461</v>
      </c>
      <c r="K80" s="21">
        <v>97967</v>
      </c>
      <c r="L80" s="6">
        <v>2000</v>
      </c>
      <c r="M80" s="20" t="s">
        <v>9</v>
      </c>
      <c r="N80" s="9" t="s">
        <v>9</v>
      </c>
      <c r="O80" s="149"/>
      <c r="P80" s="149"/>
    </row>
    <row r="81" spans="1:16" ht="40.5" x14ac:dyDescent="0.55000000000000004">
      <c r="A81" s="149"/>
      <c r="B81" s="149"/>
      <c r="C81" s="20">
        <v>930999</v>
      </c>
      <c r="D81" s="21">
        <v>459</v>
      </c>
      <c r="E81" s="21">
        <v>97881</v>
      </c>
      <c r="F81" s="6">
        <v>1800</v>
      </c>
      <c r="G81" s="20">
        <f>192</f>
        <v>192</v>
      </c>
      <c r="H81" s="9">
        <f>93.15/192</f>
        <v>0.48515625000000001</v>
      </c>
      <c r="I81" s="20">
        <v>940229</v>
      </c>
      <c r="J81" s="21">
        <v>461</v>
      </c>
      <c r="K81" s="21">
        <v>97967</v>
      </c>
      <c r="L81" s="6">
        <v>2000</v>
      </c>
      <c r="M81" s="20">
        <f>149+193+193</f>
        <v>535</v>
      </c>
      <c r="N81" s="9">
        <f>64.75/149</f>
        <v>0.43456375838926176</v>
      </c>
      <c r="O81" s="149"/>
      <c r="P81" s="149"/>
    </row>
    <row r="82" spans="1:16" ht="40.5" x14ac:dyDescent="0.55000000000000004">
      <c r="A82" s="149"/>
      <c r="B82" s="149"/>
      <c r="C82" s="20">
        <v>9301000</v>
      </c>
      <c r="D82" s="21">
        <v>459</v>
      </c>
      <c r="E82" s="21">
        <v>97881</v>
      </c>
      <c r="F82" s="6">
        <v>1800</v>
      </c>
      <c r="G82" s="20" t="s">
        <v>9</v>
      </c>
      <c r="H82" s="9" t="s">
        <v>9</v>
      </c>
      <c r="I82" s="20">
        <v>940230</v>
      </c>
      <c r="J82" s="21">
        <v>461</v>
      </c>
      <c r="K82" s="21">
        <v>97967</v>
      </c>
      <c r="L82" s="6">
        <v>2000</v>
      </c>
      <c r="M82" s="20">
        <f>191+207</f>
        <v>398</v>
      </c>
      <c r="N82" s="9">
        <f>83/191</f>
        <v>0.43455497382198954</v>
      </c>
      <c r="O82" s="149"/>
      <c r="P82" s="149"/>
    </row>
    <row r="83" spans="1:16" ht="40.5" x14ac:dyDescent="0.55000000000000004">
      <c r="A83" s="149"/>
      <c r="B83" s="149"/>
      <c r="C83" s="20"/>
      <c r="D83" s="21"/>
      <c r="E83" s="21"/>
      <c r="F83" s="6"/>
      <c r="G83" s="20"/>
      <c r="H83" s="9"/>
      <c r="I83" s="20">
        <v>940231</v>
      </c>
      <c r="J83" s="21">
        <v>461</v>
      </c>
      <c r="K83" s="21">
        <v>97967</v>
      </c>
      <c r="L83" s="6">
        <v>2000</v>
      </c>
      <c r="M83" s="20" t="s">
        <v>9</v>
      </c>
      <c r="N83" s="9" t="s">
        <v>9</v>
      </c>
      <c r="O83" s="149"/>
      <c r="P83" s="149"/>
    </row>
    <row r="84" spans="1:16" ht="40.5" x14ac:dyDescent="0.55000000000000004">
      <c r="A84" s="149"/>
      <c r="B84" s="149"/>
      <c r="C84" s="20"/>
      <c r="D84" s="21"/>
      <c r="E84" s="21"/>
      <c r="F84" s="6"/>
      <c r="G84" s="20"/>
      <c r="H84" s="9"/>
      <c r="I84" s="20">
        <v>940232</v>
      </c>
      <c r="J84" s="21">
        <v>461</v>
      </c>
      <c r="K84" s="21">
        <v>97967</v>
      </c>
      <c r="L84" s="6">
        <v>2000</v>
      </c>
      <c r="M84" s="20" t="s">
        <v>9</v>
      </c>
      <c r="N84" s="9" t="s">
        <v>9</v>
      </c>
      <c r="O84" s="149"/>
      <c r="P84" s="149"/>
    </row>
    <row r="85" spans="1:16" ht="40.5" x14ac:dyDescent="0.55000000000000004">
      <c r="A85" s="149"/>
      <c r="B85" s="149"/>
      <c r="C85" s="20"/>
      <c r="D85" s="21"/>
      <c r="E85" s="21"/>
      <c r="F85" s="6"/>
      <c r="G85" s="20"/>
      <c r="H85" s="9"/>
      <c r="I85" s="20"/>
      <c r="J85" s="21"/>
      <c r="K85" s="21"/>
      <c r="L85" s="6"/>
      <c r="M85" s="20"/>
      <c r="N85" s="9"/>
      <c r="O85" s="149"/>
      <c r="P85" s="149"/>
    </row>
    <row r="86" spans="1:16" ht="50.25" x14ac:dyDescent="0.55000000000000004">
      <c r="A86" s="149"/>
      <c r="B86" s="149"/>
      <c r="C86" s="36"/>
      <c r="D86" s="37"/>
      <c r="E86" s="38"/>
      <c r="F86" s="39">
        <f>SUM(F42:F85)</f>
        <v>46200</v>
      </c>
      <c r="G86" s="36">
        <f>SUM(G42:G85)</f>
        <v>22691</v>
      </c>
      <c r="H86" s="40"/>
      <c r="I86" s="36"/>
      <c r="J86" s="37"/>
      <c r="K86" s="38"/>
      <c r="L86" s="39">
        <f>SUM(L42:L85)</f>
        <v>46150</v>
      </c>
      <c r="M86" s="36">
        <f>SUM(M42:M85)</f>
        <v>36191</v>
      </c>
      <c r="N86" s="40"/>
      <c r="O86" s="149"/>
      <c r="P86" s="149"/>
    </row>
    <row r="87" spans="1:16" ht="50.25" x14ac:dyDescent="0.55000000000000004">
      <c r="A87" s="149"/>
      <c r="B87" s="149"/>
      <c r="C87" s="41" t="s">
        <v>52</v>
      </c>
      <c r="D87" s="41">
        <f>+G36+M36</f>
        <v>38674</v>
      </c>
      <c r="E87" s="41"/>
      <c r="F87" s="150" t="s">
        <v>53</v>
      </c>
      <c r="G87" s="151"/>
      <c r="H87" s="152"/>
      <c r="I87" s="42">
        <f>+D87+N87</f>
        <v>97556</v>
      </c>
      <c r="J87" s="153" t="s">
        <v>54</v>
      </c>
      <c r="K87" s="154"/>
      <c r="L87" s="154"/>
      <c r="M87" s="155"/>
      <c r="N87" s="41">
        <f>+G86+M86</f>
        <v>58882</v>
      </c>
      <c r="O87" s="149"/>
      <c r="P87" s="149"/>
    </row>
    <row r="88" spans="1:16" ht="50.25" x14ac:dyDescent="0.55000000000000004">
      <c r="A88" s="149"/>
      <c r="B88" s="149"/>
      <c r="C88" s="43" t="s">
        <v>55</v>
      </c>
      <c r="D88" s="43">
        <f>+F36+L36</f>
        <v>138160</v>
      </c>
      <c r="E88" s="43"/>
      <c r="F88" s="156" t="s">
        <v>56</v>
      </c>
      <c r="G88" s="157"/>
      <c r="H88" s="158"/>
      <c r="I88" s="44">
        <f>+D88+N88</f>
        <v>230510</v>
      </c>
      <c r="J88" s="159" t="s">
        <v>57</v>
      </c>
      <c r="K88" s="160"/>
      <c r="L88" s="160"/>
      <c r="M88" s="161"/>
      <c r="N88" s="43">
        <f>+F86+L86</f>
        <v>92350</v>
      </c>
      <c r="O88" s="149"/>
      <c r="P88" s="149"/>
    </row>
    <row r="89" spans="1:16" ht="50.25" x14ac:dyDescent="0.55000000000000004">
      <c r="A89" s="149"/>
      <c r="B89" s="149"/>
      <c r="C89" s="162"/>
      <c r="D89" s="163"/>
      <c r="E89" s="45"/>
      <c r="F89" s="164" t="s">
        <v>58</v>
      </c>
      <c r="G89" s="165"/>
      <c r="H89" s="166"/>
      <c r="I89" s="46">
        <f>+I88-I87</f>
        <v>132954</v>
      </c>
      <c r="J89" s="167"/>
      <c r="K89" s="168"/>
      <c r="L89" s="168"/>
      <c r="M89" s="168"/>
      <c r="N89" s="169"/>
      <c r="O89" s="149"/>
      <c r="P89" s="149"/>
    </row>
    <row r="90" spans="1:16" ht="50.25" x14ac:dyDescent="0.85">
      <c r="A90" s="149"/>
      <c r="B90" s="149"/>
      <c r="C90" s="47"/>
      <c r="D90" s="47" t="s">
        <v>59</v>
      </c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149"/>
      <c r="P90" s="149"/>
    </row>
    <row r="91" spans="1:16" ht="50.25" x14ac:dyDescent="0.55000000000000004">
      <c r="A91" s="149"/>
      <c r="B91" s="149"/>
      <c r="C91" s="48"/>
      <c r="D91" s="49"/>
      <c r="E91" s="49"/>
      <c r="F91" s="50"/>
      <c r="G91" s="51"/>
      <c r="H91" s="51"/>
      <c r="I91" s="51"/>
      <c r="J91" s="51"/>
      <c r="K91" s="51"/>
      <c r="L91" s="51"/>
      <c r="M91" s="51"/>
      <c r="N91" s="51"/>
      <c r="O91" s="149"/>
      <c r="P91" s="149"/>
    </row>
    <row r="92" spans="1:16" ht="50.25" x14ac:dyDescent="0.85">
      <c r="A92" s="149"/>
      <c r="B92" s="149"/>
      <c r="C92" s="52">
        <v>9882</v>
      </c>
      <c r="D92" s="49"/>
      <c r="E92" s="49"/>
      <c r="F92" s="49"/>
      <c r="G92" s="49"/>
      <c r="H92" s="49"/>
      <c r="I92" s="53">
        <v>91900</v>
      </c>
      <c r="J92" s="49"/>
      <c r="K92" s="49"/>
      <c r="L92" s="51"/>
      <c r="M92" s="49"/>
      <c r="N92" s="52">
        <v>88525</v>
      </c>
      <c r="O92" s="149"/>
      <c r="P92" s="149"/>
    </row>
    <row r="93" spans="1:16" ht="50.25" x14ac:dyDescent="0.55000000000000004">
      <c r="A93" s="149"/>
      <c r="B93" s="149"/>
      <c r="C93" s="54">
        <f>+C92-D87</f>
        <v>-28792</v>
      </c>
      <c r="D93" s="54"/>
      <c r="E93" s="54"/>
      <c r="F93" s="54"/>
      <c r="G93" s="54"/>
      <c r="H93" s="54"/>
      <c r="I93" s="55">
        <f>+I92-I87</f>
        <v>-5656</v>
      </c>
      <c r="J93" s="55"/>
      <c r="K93" s="55"/>
      <c r="L93" s="54"/>
      <c r="M93" s="54"/>
      <c r="N93" s="54">
        <f>+N92-N87</f>
        <v>29643</v>
      </c>
      <c r="O93" s="149"/>
      <c r="P93" s="149"/>
    </row>
    <row r="94" spans="1:16" ht="50.25" x14ac:dyDescent="0.85">
      <c r="A94" s="149"/>
      <c r="B94" s="149"/>
      <c r="C94" s="56"/>
      <c r="D94" s="56"/>
      <c r="E94" s="56"/>
      <c r="F94" s="56"/>
      <c r="G94" s="57"/>
      <c r="H94" s="56"/>
      <c r="I94" s="56"/>
      <c r="J94" s="56"/>
      <c r="K94" s="56"/>
      <c r="L94" s="56"/>
      <c r="M94" s="56"/>
      <c r="N94" s="56"/>
      <c r="O94" s="149"/>
      <c r="P94" s="149"/>
    </row>
    <row r="95" spans="1:16" ht="34.5" x14ac:dyDescent="0.6"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149"/>
      <c r="P95" s="149"/>
    </row>
    <row r="96" spans="1:16" x14ac:dyDescent="0.55000000000000004">
      <c r="O96" s="149"/>
      <c r="P96" s="149"/>
    </row>
  </sheetData>
  <mergeCells count="15">
    <mergeCell ref="A1:B94"/>
    <mergeCell ref="O1:P96"/>
    <mergeCell ref="F87:H87"/>
    <mergeCell ref="J87:M87"/>
    <mergeCell ref="F88:H88"/>
    <mergeCell ref="J88:M88"/>
    <mergeCell ref="C89:D89"/>
    <mergeCell ref="F89:H89"/>
    <mergeCell ref="J89:N89"/>
    <mergeCell ref="C1:N1"/>
    <mergeCell ref="C2:N2"/>
    <mergeCell ref="C37:N37"/>
    <mergeCell ref="C38:N38"/>
    <mergeCell ref="C39:N39"/>
    <mergeCell ref="C40:N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6"/>
  <sheetViews>
    <sheetView tabSelected="1" topLeftCell="A186" zoomScale="50" zoomScaleNormal="50" workbookViewId="0">
      <selection activeCell="I191" sqref="I191:I216"/>
    </sheetView>
  </sheetViews>
  <sheetFormatPr defaultRowHeight="21" x14ac:dyDescent="0.55000000000000004"/>
  <cols>
    <col min="4" max="4" width="11.6640625" customWidth="1"/>
    <col min="8" max="8" width="11.88671875" customWidth="1"/>
    <col min="13" max="13" width="12.6640625" customWidth="1"/>
    <col min="17" max="17" width="11.5546875" customWidth="1"/>
  </cols>
  <sheetData>
    <row r="1" spans="1:17" ht="33" customHeight="1" x14ac:dyDescent="0.55000000000000004">
      <c r="A1" s="254" t="s">
        <v>358</v>
      </c>
      <c r="B1" s="255"/>
      <c r="C1" s="255"/>
      <c r="D1" s="255"/>
      <c r="E1" s="255"/>
      <c r="F1" s="255"/>
      <c r="G1" s="255"/>
      <c r="H1" s="256"/>
      <c r="I1" s="146"/>
      <c r="J1" s="254" t="s">
        <v>358</v>
      </c>
      <c r="K1" s="255"/>
      <c r="L1" s="255"/>
      <c r="M1" s="255"/>
      <c r="N1" s="255"/>
      <c r="O1" s="255"/>
      <c r="P1" s="255"/>
      <c r="Q1" s="256"/>
    </row>
    <row r="2" spans="1:17" ht="41.25" customHeight="1" x14ac:dyDescent="0.55000000000000004">
      <c r="A2" s="257" t="s">
        <v>211</v>
      </c>
      <c r="B2" s="193"/>
      <c r="C2" s="193"/>
      <c r="D2" s="193"/>
      <c r="E2" s="193"/>
      <c r="F2" s="193"/>
      <c r="G2" s="193"/>
      <c r="H2" s="258"/>
      <c r="I2" s="147"/>
      <c r="J2" s="257" t="s">
        <v>377</v>
      </c>
      <c r="K2" s="193"/>
      <c r="L2" s="193"/>
      <c r="M2" s="193"/>
      <c r="N2" s="193"/>
      <c r="O2" s="193"/>
      <c r="P2" s="193"/>
      <c r="Q2" s="258"/>
    </row>
    <row r="3" spans="1:17" ht="25.5" x14ac:dyDescent="0.55000000000000004">
      <c r="A3" s="259" t="s">
        <v>290</v>
      </c>
      <c r="B3" s="194"/>
      <c r="C3" s="194"/>
      <c r="D3" s="194"/>
      <c r="E3" s="194" t="s">
        <v>291</v>
      </c>
      <c r="F3" s="194"/>
      <c r="G3" s="194"/>
      <c r="H3" s="260"/>
      <c r="I3" s="147"/>
      <c r="J3" s="259" t="s">
        <v>290</v>
      </c>
      <c r="K3" s="194"/>
      <c r="L3" s="194"/>
      <c r="M3" s="194"/>
      <c r="N3" s="194" t="s">
        <v>291</v>
      </c>
      <c r="O3" s="194"/>
      <c r="P3" s="194"/>
      <c r="Q3" s="260"/>
    </row>
    <row r="4" spans="1:17" ht="25.5" x14ac:dyDescent="0.55000000000000004">
      <c r="A4" s="250" t="s">
        <v>292</v>
      </c>
      <c r="B4" s="183"/>
      <c r="C4" s="183"/>
      <c r="D4" s="183"/>
      <c r="E4" s="183" t="s">
        <v>292</v>
      </c>
      <c r="F4" s="183"/>
      <c r="G4" s="183"/>
      <c r="H4" s="251"/>
      <c r="I4" s="147"/>
      <c r="J4" s="250" t="s">
        <v>292</v>
      </c>
      <c r="K4" s="183"/>
      <c r="L4" s="183"/>
      <c r="M4" s="183"/>
      <c r="N4" s="183" t="s">
        <v>292</v>
      </c>
      <c r="O4" s="183"/>
      <c r="P4" s="183"/>
      <c r="Q4" s="251"/>
    </row>
    <row r="5" spans="1:17" ht="25.5" x14ac:dyDescent="0.55000000000000004">
      <c r="A5" s="262" t="s">
        <v>345</v>
      </c>
      <c r="B5" s="195"/>
      <c r="C5" s="195"/>
      <c r="D5" s="195"/>
      <c r="E5" s="182" t="s">
        <v>328</v>
      </c>
      <c r="F5" s="182"/>
      <c r="G5" s="182"/>
      <c r="H5" s="199"/>
      <c r="I5" s="147"/>
      <c r="J5" s="198" t="s">
        <v>335</v>
      </c>
      <c r="K5" s="182"/>
      <c r="L5" s="182"/>
      <c r="M5" s="182"/>
      <c r="N5" s="182" t="s">
        <v>360</v>
      </c>
      <c r="O5" s="182"/>
      <c r="P5" s="182"/>
      <c r="Q5" s="199"/>
    </row>
    <row r="6" spans="1:17" ht="25.5" x14ac:dyDescent="0.55000000000000004">
      <c r="A6" s="198" t="s">
        <v>346</v>
      </c>
      <c r="B6" s="182"/>
      <c r="C6" s="182"/>
      <c r="D6" s="182"/>
      <c r="E6" s="182"/>
      <c r="F6" s="182"/>
      <c r="G6" s="182"/>
      <c r="H6" s="199"/>
      <c r="I6" s="147"/>
      <c r="J6" s="198" t="s">
        <v>336</v>
      </c>
      <c r="K6" s="182"/>
      <c r="L6" s="182"/>
      <c r="M6" s="182"/>
      <c r="N6" s="182"/>
      <c r="O6" s="182"/>
      <c r="P6" s="182"/>
      <c r="Q6" s="199"/>
    </row>
    <row r="7" spans="1:17" ht="25.5" x14ac:dyDescent="0.55000000000000004">
      <c r="A7" s="198" t="s">
        <v>355</v>
      </c>
      <c r="B7" s="182"/>
      <c r="C7" s="182"/>
      <c r="D7" s="182"/>
      <c r="E7" s="182"/>
      <c r="F7" s="182"/>
      <c r="G7" s="182"/>
      <c r="H7" s="199"/>
      <c r="I7" s="147"/>
      <c r="J7" s="198" t="s">
        <v>357</v>
      </c>
      <c r="K7" s="182"/>
      <c r="L7" s="182"/>
      <c r="M7" s="182"/>
      <c r="N7" s="182"/>
      <c r="O7" s="182"/>
      <c r="P7" s="182"/>
      <c r="Q7" s="199"/>
    </row>
    <row r="8" spans="1:17" ht="25.5" x14ac:dyDescent="0.55000000000000004">
      <c r="A8" s="198" t="s">
        <v>356</v>
      </c>
      <c r="B8" s="182"/>
      <c r="C8" s="182"/>
      <c r="D8" s="182"/>
      <c r="E8" s="182"/>
      <c r="F8" s="182"/>
      <c r="G8" s="182"/>
      <c r="H8" s="199"/>
      <c r="I8" s="147"/>
      <c r="J8" s="198"/>
      <c r="K8" s="182"/>
      <c r="L8" s="182"/>
      <c r="M8" s="182"/>
      <c r="N8" s="182"/>
      <c r="O8" s="182"/>
      <c r="P8" s="182"/>
      <c r="Q8" s="199"/>
    </row>
    <row r="9" spans="1:17" ht="25.5" x14ac:dyDescent="0.55000000000000004">
      <c r="A9" s="250" t="s">
        <v>293</v>
      </c>
      <c r="B9" s="183"/>
      <c r="C9" s="183"/>
      <c r="D9" s="183"/>
      <c r="E9" s="183" t="s">
        <v>293</v>
      </c>
      <c r="F9" s="183"/>
      <c r="G9" s="183"/>
      <c r="H9" s="251"/>
      <c r="I9" s="147"/>
      <c r="J9" s="250" t="s">
        <v>293</v>
      </c>
      <c r="K9" s="183"/>
      <c r="L9" s="183"/>
      <c r="M9" s="183"/>
      <c r="N9" s="183" t="s">
        <v>293</v>
      </c>
      <c r="O9" s="183"/>
      <c r="P9" s="183"/>
      <c r="Q9" s="251"/>
    </row>
    <row r="10" spans="1:17" ht="25.5" x14ac:dyDescent="0.55000000000000004">
      <c r="A10" s="198" t="s">
        <v>332</v>
      </c>
      <c r="B10" s="182"/>
      <c r="C10" s="182"/>
      <c r="D10" s="182"/>
      <c r="E10" s="182" t="s">
        <v>333</v>
      </c>
      <c r="F10" s="182"/>
      <c r="G10" s="182"/>
      <c r="H10" s="199"/>
      <c r="I10" s="147"/>
      <c r="J10" s="198" t="s">
        <v>361</v>
      </c>
      <c r="K10" s="182"/>
      <c r="L10" s="182"/>
      <c r="M10" s="182"/>
      <c r="N10" s="182" t="s">
        <v>362</v>
      </c>
      <c r="O10" s="182"/>
      <c r="P10" s="182"/>
      <c r="Q10" s="199"/>
    </row>
    <row r="11" spans="1:17" ht="25.5" x14ac:dyDescent="0.55000000000000004">
      <c r="A11" s="198" t="s">
        <v>330</v>
      </c>
      <c r="B11" s="182"/>
      <c r="C11" s="182"/>
      <c r="D11" s="182"/>
      <c r="E11" s="182" t="s">
        <v>334</v>
      </c>
      <c r="F11" s="182"/>
      <c r="G11" s="182"/>
      <c r="H11" s="199"/>
      <c r="I11" s="147"/>
      <c r="J11" s="198" t="s">
        <v>366</v>
      </c>
      <c r="K11" s="182"/>
      <c r="L11" s="182"/>
      <c r="M11" s="182"/>
      <c r="N11" s="182"/>
      <c r="O11" s="182"/>
      <c r="P11" s="182"/>
      <c r="Q11" s="199"/>
    </row>
    <row r="12" spans="1:17" ht="25.5" x14ac:dyDescent="0.55000000000000004">
      <c r="A12" s="198" t="s">
        <v>331</v>
      </c>
      <c r="B12" s="182"/>
      <c r="C12" s="182"/>
      <c r="D12" s="182"/>
      <c r="E12" s="182" t="s">
        <v>329</v>
      </c>
      <c r="F12" s="182"/>
      <c r="G12" s="182"/>
      <c r="H12" s="199"/>
      <c r="I12" s="147"/>
      <c r="J12" s="198"/>
      <c r="K12" s="182"/>
      <c r="L12" s="182"/>
      <c r="M12" s="182"/>
      <c r="N12" s="182"/>
      <c r="O12" s="182"/>
      <c r="P12" s="182"/>
      <c r="Q12" s="199"/>
    </row>
    <row r="13" spans="1:17" ht="25.5" x14ac:dyDescent="0.55000000000000004">
      <c r="A13" s="198"/>
      <c r="B13" s="182"/>
      <c r="C13" s="182"/>
      <c r="D13" s="182"/>
      <c r="E13" s="182"/>
      <c r="F13" s="182"/>
      <c r="G13" s="182"/>
      <c r="H13" s="199"/>
      <c r="I13" s="147"/>
      <c r="J13" s="198"/>
      <c r="K13" s="182"/>
      <c r="L13" s="182"/>
      <c r="M13" s="182"/>
      <c r="N13" s="182"/>
      <c r="O13" s="182"/>
      <c r="P13" s="182"/>
      <c r="Q13" s="199"/>
    </row>
    <row r="14" spans="1:17" ht="25.5" x14ac:dyDescent="0.55000000000000004">
      <c r="A14" s="250" t="s">
        <v>294</v>
      </c>
      <c r="B14" s="183"/>
      <c r="C14" s="183"/>
      <c r="D14" s="183"/>
      <c r="E14" s="183" t="s">
        <v>294</v>
      </c>
      <c r="F14" s="183"/>
      <c r="G14" s="183"/>
      <c r="H14" s="251"/>
      <c r="I14" s="147"/>
      <c r="J14" s="250" t="s">
        <v>294</v>
      </c>
      <c r="K14" s="183"/>
      <c r="L14" s="183"/>
      <c r="M14" s="183"/>
      <c r="N14" s="183" t="s">
        <v>294</v>
      </c>
      <c r="O14" s="183"/>
      <c r="P14" s="183"/>
      <c r="Q14" s="251"/>
    </row>
    <row r="15" spans="1:17" ht="25.5" x14ac:dyDescent="0.55000000000000004">
      <c r="A15" s="198" t="s">
        <v>337</v>
      </c>
      <c r="B15" s="182"/>
      <c r="C15" s="182"/>
      <c r="D15" s="182"/>
      <c r="E15" s="182" t="s">
        <v>340</v>
      </c>
      <c r="F15" s="182"/>
      <c r="G15" s="182"/>
      <c r="H15" s="199"/>
      <c r="I15" s="147"/>
      <c r="J15" s="198" t="s">
        <v>364</v>
      </c>
      <c r="K15" s="182"/>
      <c r="L15" s="182"/>
      <c r="M15" s="182"/>
      <c r="N15" s="182" t="s">
        <v>363</v>
      </c>
      <c r="O15" s="182"/>
      <c r="P15" s="182"/>
      <c r="Q15" s="199"/>
    </row>
    <row r="16" spans="1:17" ht="25.5" x14ac:dyDescent="0.55000000000000004">
      <c r="A16" s="198" t="s">
        <v>338</v>
      </c>
      <c r="B16" s="182"/>
      <c r="C16" s="182"/>
      <c r="D16" s="182"/>
      <c r="E16" s="182" t="s">
        <v>341</v>
      </c>
      <c r="F16" s="182"/>
      <c r="G16" s="182"/>
      <c r="H16" s="199"/>
      <c r="I16" s="147"/>
      <c r="J16" s="198" t="s">
        <v>365</v>
      </c>
      <c r="K16" s="182"/>
      <c r="L16" s="182"/>
      <c r="M16" s="182"/>
      <c r="N16" s="182" t="s">
        <v>367</v>
      </c>
      <c r="O16" s="182"/>
      <c r="P16" s="182"/>
      <c r="Q16" s="199"/>
    </row>
    <row r="17" spans="1:17" ht="25.5" x14ac:dyDescent="0.55000000000000004">
      <c r="A17" s="198" t="s">
        <v>339</v>
      </c>
      <c r="B17" s="182"/>
      <c r="C17" s="182"/>
      <c r="D17" s="182"/>
      <c r="E17" s="182" t="s">
        <v>342</v>
      </c>
      <c r="F17" s="182"/>
      <c r="G17" s="182"/>
      <c r="H17" s="199"/>
      <c r="I17" s="147"/>
      <c r="J17" s="198" t="s">
        <v>374</v>
      </c>
      <c r="K17" s="182"/>
      <c r="L17" s="182"/>
      <c r="M17" s="182"/>
      <c r="N17" s="182" t="s">
        <v>369</v>
      </c>
      <c r="O17" s="182"/>
      <c r="P17" s="182"/>
      <c r="Q17" s="199"/>
    </row>
    <row r="18" spans="1:17" ht="25.5" x14ac:dyDescent="0.55000000000000004">
      <c r="A18" s="198" t="s">
        <v>349</v>
      </c>
      <c r="B18" s="182"/>
      <c r="C18" s="182"/>
      <c r="D18" s="182"/>
      <c r="E18" s="182" t="s">
        <v>350</v>
      </c>
      <c r="F18" s="182"/>
      <c r="G18" s="182"/>
      <c r="H18" s="199"/>
      <c r="I18" s="147"/>
      <c r="J18" s="198" t="s">
        <v>371</v>
      </c>
      <c r="K18" s="182"/>
      <c r="L18" s="182"/>
      <c r="M18" s="182"/>
      <c r="N18" s="182" t="s">
        <v>370</v>
      </c>
      <c r="O18" s="182"/>
      <c r="P18" s="182"/>
      <c r="Q18" s="199"/>
    </row>
    <row r="19" spans="1:17" ht="25.5" x14ac:dyDescent="0.55000000000000004">
      <c r="A19" s="252" t="s">
        <v>344</v>
      </c>
      <c r="B19" s="253"/>
      <c r="C19" s="253"/>
      <c r="D19" s="253"/>
      <c r="E19" s="253" t="s">
        <v>344</v>
      </c>
      <c r="F19" s="253"/>
      <c r="G19" s="253"/>
      <c r="H19" s="261"/>
      <c r="I19" s="147"/>
      <c r="J19" s="198" t="s">
        <v>373</v>
      </c>
      <c r="K19" s="182"/>
      <c r="L19" s="182"/>
      <c r="M19" s="182"/>
      <c r="N19" s="182" t="s">
        <v>368</v>
      </c>
      <c r="O19" s="182"/>
      <c r="P19" s="182"/>
      <c r="Q19" s="199"/>
    </row>
    <row r="20" spans="1:17" ht="25.5" x14ac:dyDescent="0.55000000000000004">
      <c r="A20" s="198" t="s">
        <v>347</v>
      </c>
      <c r="B20" s="182"/>
      <c r="C20" s="182"/>
      <c r="D20" s="182"/>
      <c r="E20" s="182" t="s">
        <v>343</v>
      </c>
      <c r="F20" s="182"/>
      <c r="G20" s="182"/>
      <c r="H20" s="199"/>
      <c r="I20" s="147"/>
      <c r="J20" s="198" t="s">
        <v>372</v>
      </c>
      <c r="K20" s="182"/>
      <c r="L20" s="182"/>
      <c r="M20" s="182"/>
      <c r="N20" s="186" t="s">
        <v>351</v>
      </c>
      <c r="O20" s="182"/>
      <c r="P20" s="182"/>
      <c r="Q20" s="199"/>
    </row>
    <row r="21" spans="1:17" ht="25.5" x14ac:dyDescent="0.55000000000000004">
      <c r="A21" s="198"/>
      <c r="B21" s="182"/>
      <c r="C21" s="182"/>
      <c r="D21" s="182"/>
      <c r="E21" s="182" t="s">
        <v>348</v>
      </c>
      <c r="F21" s="182"/>
      <c r="G21" s="182"/>
      <c r="H21" s="199"/>
      <c r="I21" s="147"/>
      <c r="J21" s="198"/>
      <c r="K21" s="182"/>
      <c r="L21" s="182"/>
      <c r="M21" s="182"/>
      <c r="N21" s="186"/>
      <c r="O21" s="182"/>
      <c r="P21" s="182"/>
      <c r="Q21" s="199"/>
    </row>
    <row r="22" spans="1:17" ht="25.5" x14ac:dyDescent="0.55000000000000004">
      <c r="A22" s="250" t="s">
        <v>295</v>
      </c>
      <c r="B22" s="183"/>
      <c r="C22" s="183"/>
      <c r="D22" s="183"/>
      <c r="E22" s="183" t="s">
        <v>295</v>
      </c>
      <c r="F22" s="183"/>
      <c r="G22" s="183"/>
      <c r="H22" s="251"/>
      <c r="I22" s="147"/>
      <c r="J22" s="250" t="s">
        <v>295</v>
      </c>
      <c r="K22" s="183"/>
      <c r="L22" s="183"/>
      <c r="M22" s="183"/>
      <c r="N22" s="183" t="s">
        <v>295</v>
      </c>
      <c r="O22" s="183"/>
      <c r="P22" s="183"/>
      <c r="Q22" s="251"/>
    </row>
    <row r="23" spans="1:17" ht="25.5" x14ac:dyDescent="0.55000000000000004">
      <c r="A23" s="198" t="s">
        <v>352</v>
      </c>
      <c r="B23" s="182"/>
      <c r="C23" s="182"/>
      <c r="D23" s="182"/>
      <c r="E23" s="182" t="s">
        <v>359</v>
      </c>
      <c r="F23" s="182"/>
      <c r="G23" s="182"/>
      <c r="H23" s="199"/>
      <c r="I23" s="147"/>
      <c r="J23" s="198" t="s">
        <v>375</v>
      </c>
      <c r="K23" s="182"/>
      <c r="L23" s="182"/>
      <c r="M23" s="182"/>
      <c r="N23" s="182" t="s">
        <v>376</v>
      </c>
      <c r="O23" s="182"/>
      <c r="P23" s="182"/>
      <c r="Q23" s="199"/>
    </row>
    <row r="24" spans="1:17" ht="25.5" x14ac:dyDescent="0.55000000000000004">
      <c r="A24" s="198" t="s">
        <v>353</v>
      </c>
      <c r="B24" s="182"/>
      <c r="C24" s="182"/>
      <c r="D24" s="182"/>
      <c r="E24" s="182"/>
      <c r="F24" s="182"/>
      <c r="G24" s="182"/>
      <c r="H24" s="199"/>
      <c r="I24" s="147"/>
      <c r="J24" s="198"/>
      <c r="K24" s="182"/>
      <c r="L24" s="182"/>
      <c r="M24" s="182"/>
      <c r="N24" s="182"/>
      <c r="O24" s="182"/>
      <c r="P24" s="182"/>
      <c r="Q24" s="199"/>
    </row>
    <row r="25" spans="1:17" ht="25.5" x14ac:dyDescent="0.55000000000000004">
      <c r="A25" s="198" t="s">
        <v>354</v>
      </c>
      <c r="B25" s="182"/>
      <c r="C25" s="182"/>
      <c r="D25" s="182"/>
      <c r="E25" s="182"/>
      <c r="F25" s="182"/>
      <c r="G25" s="182"/>
      <c r="H25" s="199"/>
      <c r="I25" s="147"/>
      <c r="J25" s="198"/>
      <c r="K25" s="182"/>
      <c r="L25" s="182"/>
      <c r="M25" s="182"/>
      <c r="N25" s="182"/>
      <c r="O25" s="182"/>
      <c r="P25" s="182"/>
      <c r="Q25" s="199"/>
    </row>
    <row r="26" spans="1:17" ht="26.25" thickBot="1" x14ac:dyDescent="0.6">
      <c r="A26" s="215"/>
      <c r="B26" s="216"/>
      <c r="C26" s="216"/>
      <c r="D26" s="216"/>
      <c r="E26" s="216"/>
      <c r="F26" s="216"/>
      <c r="G26" s="216"/>
      <c r="H26" s="217"/>
      <c r="I26" s="148"/>
      <c r="J26" s="215"/>
      <c r="K26" s="216"/>
      <c r="L26" s="216"/>
      <c r="M26" s="216"/>
      <c r="N26" s="216"/>
      <c r="O26" s="216"/>
      <c r="P26" s="216"/>
      <c r="Q26" s="217"/>
    </row>
    <row r="28" spans="1:17" ht="21.75" thickBot="1" x14ac:dyDescent="0.6"/>
    <row r="29" spans="1:17" ht="32.25" thickBot="1" x14ac:dyDescent="0.6">
      <c r="A29" s="241" t="s">
        <v>378</v>
      </c>
      <c r="B29" s="242"/>
      <c r="C29" s="242"/>
      <c r="D29" s="242"/>
      <c r="E29" s="242"/>
      <c r="F29" s="242"/>
      <c r="G29" s="242"/>
      <c r="H29" s="243"/>
      <c r="I29" s="218"/>
      <c r="J29" s="241" t="s">
        <v>378</v>
      </c>
      <c r="K29" s="242"/>
      <c r="L29" s="242"/>
      <c r="M29" s="242"/>
      <c r="N29" s="242"/>
      <c r="O29" s="242"/>
      <c r="P29" s="242"/>
      <c r="Q29" s="243"/>
    </row>
    <row r="30" spans="1:17" ht="42" thickBot="1" x14ac:dyDescent="0.6">
      <c r="A30" s="244" t="s">
        <v>211</v>
      </c>
      <c r="B30" s="245"/>
      <c r="C30" s="245"/>
      <c r="D30" s="245"/>
      <c r="E30" s="245"/>
      <c r="F30" s="245"/>
      <c r="G30" s="245"/>
      <c r="H30" s="246"/>
      <c r="I30" s="219"/>
      <c r="J30" s="244" t="s">
        <v>377</v>
      </c>
      <c r="K30" s="245"/>
      <c r="L30" s="245"/>
      <c r="M30" s="245"/>
      <c r="N30" s="245"/>
      <c r="O30" s="245"/>
      <c r="P30" s="245"/>
      <c r="Q30" s="246"/>
    </row>
    <row r="31" spans="1:17" ht="26.25" thickBot="1" x14ac:dyDescent="0.6">
      <c r="A31" s="247" t="s">
        <v>290</v>
      </c>
      <c r="B31" s="248"/>
      <c r="C31" s="248"/>
      <c r="D31" s="249"/>
      <c r="E31" s="247" t="s">
        <v>291</v>
      </c>
      <c r="F31" s="248"/>
      <c r="G31" s="248"/>
      <c r="H31" s="249"/>
      <c r="I31" s="219"/>
      <c r="J31" s="247" t="s">
        <v>290</v>
      </c>
      <c r="K31" s="248"/>
      <c r="L31" s="248"/>
      <c r="M31" s="249"/>
      <c r="N31" s="247" t="s">
        <v>291</v>
      </c>
      <c r="O31" s="248"/>
      <c r="P31" s="248"/>
      <c r="Q31" s="249"/>
    </row>
    <row r="32" spans="1:17" ht="26.25" thickBot="1" x14ac:dyDescent="0.6">
      <c r="A32" s="200" t="s">
        <v>292</v>
      </c>
      <c r="B32" s="201"/>
      <c r="C32" s="201"/>
      <c r="D32" s="202"/>
      <c r="E32" s="200" t="s">
        <v>292</v>
      </c>
      <c r="F32" s="201"/>
      <c r="G32" s="201"/>
      <c r="H32" s="202"/>
      <c r="I32" s="219"/>
      <c r="J32" s="224" t="s">
        <v>292</v>
      </c>
      <c r="K32" s="204"/>
      <c r="L32" s="204"/>
      <c r="M32" s="236"/>
      <c r="N32" s="200" t="s">
        <v>292</v>
      </c>
      <c r="O32" s="201"/>
      <c r="P32" s="201"/>
      <c r="Q32" s="202"/>
    </row>
    <row r="33" spans="1:17" ht="25.5" x14ac:dyDescent="0.55000000000000004">
      <c r="A33" s="210" t="s">
        <v>328</v>
      </c>
      <c r="B33" s="210"/>
      <c r="C33" s="210"/>
      <c r="D33" s="211"/>
      <c r="E33" s="237" t="s">
        <v>345</v>
      </c>
      <c r="F33" s="238"/>
      <c r="G33" s="238"/>
      <c r="H33" s="239"/>
      <c r="I33" s="219"/>
      <c r="J33" s="206" t="s">
        <v>335</v>
      </c>
      <c r="K33" s="207"/>
      <c r="L33" s="207"/>
      <c r="M33" s="208"/>
      <c r="N33" s="240" t="s">
        <v>360</v>
      </c>
      <c r="O33" s="207"/>
      <c r="P33" s="207"/>
      <c r="Q33" s="208"/>
    </row>
    <row r="34" spans="1:17" ht="25.5" x14ac:dyDescent="0.55000000000000004">
      <c r="A34" s="222" t="s">
        <v>355</v>
      </c>
      <c r="B34" s="185"/>
      <c r="C34" s="185"/>
      <c r="D34" s="185"/>
      <c r="E34" s="198"/>
      <c r="F34" s="182"/>
      <c r="G34" s="182"/>
      <c r="H34" s="199"/>
      <c r="I34" s="219"/>
      <c r="J34" s="198" t="s">
        <v>346</v>
      </c>
      <c r="K34" s="182"/>
      <c r="L34" s="182"/>
      <c r="M34" s="199"/>
      <c r="N34" s="186"/>
      <c r="O34" s="182"/>
      <c r="P34" s="182"/>
      <c r="Q34" s="199"/>
    </row>
    <row r="35" spans="1:17" ht="25.5" x14ac:dyDescent="0.55000000000000004">
      <c r="A35" s="198" t="s">
        <v>356</v>
      </c>
      <c r="B35" s="182"/>
      <c r="C35" s="182"/>
      <c r="D35" s="184"/>
      <c r="E35" s="198"/>
      <c r="F35" s="182"/>
      <c r="G35" s="182"/>
      <c r="H35" s="199"/>
      <c r="I35" s="219"/>
      <c r="J35" s="186" t="s">
        <v>336</v>
      </c>
      <c r="K35" s="182"/>
      <c r="L35" s="182"/>
      <c r="M35" s="199"/>
      <c r="N35" s="186"/>
      <c r="O35" s="182"/>
      <c r="P35" s="182"/>
      <c r="Q35" s="199"/>
    </row>
    <row r="36" spans="1:17" ht="26.25" thickBot="1" x14ac:dyDescent="0.6">
      <c r="A36" s="231"/>
      <c r="B36" s="232"/>
      <c r="C36" s="232"/>
      <c r="D36" s="233"/>
      <c r="E36" s="231"/>
      <c r="F36" s="232"/>
      <c r="G36" s="232"/>
      <c r="H36" s="234"/>
      <c r="I36" s="219"/>
      <c r="J36" s="186" t="s">
        <v>357</v>
      </c>
      <c r="K36" s="182"/>
      <c r="L36" s="182"/>
      <c r="M36" s="199"/>
      <c r="N36" s="235"/>
      <c r="O36" s="216"/>
      <c r="P36" s="216"/>
      <c r="Q36" s="217"/>
    </row>
    <row r="37" spans="1:17" ht="26.25" thickBot="1" x14ac:dyDescent="0.6">
      <c r="A37" s="200" t="s">
        <v>293</v>
      </c>
      <c r="B37" s="201"/>
      <c r="C37" s="201"/>
      <c r="D37" s="202"/>
      <c r="E37" s="200" t="s">
        <v>293</v>
      </c>
      <c r="F37" s="201"/>
      <c r="G37" s="201"/>
      <c r="H37" s="202"/>
      <c r="I37" s="219"/>
      <c r="J37" s="224" t="s">
        <v>293</v>
      </c>
      <c r="K37" s="204"/>
      <c r="L37" s="204"/>
      <c r="M37" s="236"/>
      <c r="N37" s="200" t="s">
        <v>293</v>
      </c>
      <c r="O37" s="201"/>
      <c r="P37" s="201"/>
      <c r="Q37" s="202"/>
    </row>
    <row r="38" spans="1:17" ht="25.5" x14ac:dyDescent="0.55000000000000004">
      <c r="A38" s="210" t="s">
        <v>334</v>
      </c>
      <c r="B38" s="210"/>
      <c r="C38" s="210"/>
      <c r="D38" s="211"/>
      <c r="E38" s="206" t="s">
        <v>329</v>
      </c>
      <c r="F38" s="207"/>
      <c r="G38" s="207"/>
      <c r="H38" s="208"/>
      <c r="I38" s="219"/>
      <c r="J38" s="206" t="s">
        <v>362</v>
      </c>
      <c r="K38" s="207"/>
      <c r="L38" s="207"/>
      <c r="M38" s="208"/>
      <c r="N38" s="206" t="s">
        <v>361</v>
      </c>
      <c r="O38" s="207"/>
      <c r="P38" s="207"/>
      <c r="Q38" s="208"/>
    </row>
    <row r="39" spans="1:17" ht="25.5" x14ac:dyDescent="0.55000000000000004">
      <c r="A39" s="198"/>
      <c r="B39" s="182"/>
      <c r="C39" s="182"/>
      <c r="D39" s="184"/>
      <c r="E39" s="198"/>
      <c r="F39" s="182"/>
      <c r="G39" s="182"/>
      <c r="H39" s="199"/>
      <c r="I39" s="219"/>
      <c r="J39" s="198"/>
      <c r="K39" s="182"/>
      <c r="L39" s="182"/>
      <c r="M39" s="199"/>
      <c r="N39" s="198"/>
      <c r="O39" s="182"/>
      <c r="P39" s="182"/>
      <c r="Q39" s="199"/>
    </row>
    <row r="40" spans="1:17" ht="25.5" x14ac:dyDescent="0.55000000000000004">
      <c r="A40" s="198"/>
      <c r="B40" s="182"/>
      <c r="C40" s="182"/>
      <c r="D40" s="184"/>
      <c r="E40" s="198"/>
      <c r="F40" s="182"/>
      <c r="G40" s="182"/>
      <c r="H40" s="199"/>
      <c r="I40" s="219"/>
      <c r="J40" s="228"/>
      <c r="K40" s="229"/>
      <c r="L40" s="229"/>
      <c r="M40" s="230"/>
      <c r="N40" s="198"/>
      <c r="O40" s="182"/>
      <c r="P40" s="182"/>
      <c r="Q40" s="199"/>
    </row>
    <row r="41" spans="1:17" ht="26.25" thickBot="1" x14ac:dyDescent="0.6">
      <c r="A41" s="231"/>
      <c r="B41" s="232"/>
      <c r="C41" s="232"/>
      <c r="D41" s="233"/>
      <c r="E41" s="215"/>
      <c r="F41" s="216"/>
      <c r="G41" s="216"/>
      <c r="H41" s="217"/>
      <c r="I41" s="219"/>
      <c r="J41" s="215"/>
      <c r="K41" s="216"/>
      <c r="L41" s="216"/>
      <c r="M41" s="217"/>
      <c r="N41" s="215"/>
      <c r="O41" s="216"/>
      <c r="P41" s="216"/>
      <c r="Q41" s="217"/>
    </row>
    <row r="42" spans="1:17" ht="26.25" thickBot="1" x14ac:dyDescent="0.6">
      <c r="A42" s="200" t="s">
        <v>294</v>
      </c>
      <c r="B42" s="201"/>
      <c r="C42" s="201"/>
      <c r="D42" s="202"/>
      <c r="E42" s="200" t="s">
        <v>294</v>
      </c>
      <c r="F42" s="201"/>
      <c r="G42" s="201"/>
      <c r="H42" s="202"/>
      <c r="I42" s="219"/>
      <c r="J42" s="224" t="s">
        <v>294</v>
      </c>
      <c r="K42" s="204"/>
      <c r="L42" s="204"/>
      <c r="M42" s="205"/>
      <c r="N42" s="200" t="s">
        <v>294</v>
      </c>
      <c r="O42" s="201"/>
      <c r="P42" s="201"/>
      <c r="Q42" s="202"/>
    </row>
    <row r="43" spans="1:17" ht="25.5" x14ac:dyDescent="0.55000000000000004">
      <c r="A43" s="206" t="s">
        <v>340</v>
      </c>
      <c r="B43" s="207"/>
      <c r="C43" s="207"/>
      <c r="D43" s="208"/>
      <c r="E43" s="225" t="s">
        <v>337</v>
      </c>
      <c r="F43" s="226"/>
      <c r="G43" s="226"/>
      <c r="H43" s="227"/>
      <c r="I43" s="219"/>
      <c r="J43" s="206" t="s">
        <v>370</v>
      </c>
      <c r="K43" s="207"/>
      <c r="L43" s="207"/>
      <c r="M43" s="208"/>
      <c r="N43" s="206" t="s">
        <v>374</v>
      </c>
      <c r="O43" s="207"/>
      <c r="P43" s="207"/>
      <c r="Q43" s="208"/>
    </row>
    <row r="44" spans="1:17" ht="25.5" x14ac:dyDescent="0.55000000000000004">
      <c r="A44" s="198" t="s">
        <v>341</v>
      </c>
      <c r="B44" s="182"/>
      <c r="C44" s="182"/>
      <c r="D44" s="199"/>
      <c r="E44" s="222" t="s">
        <v>366</v>
      </c>
      <c r="F44" s="185"/>
      <c r="G44" s="185"/>
      <c r="H44" s="223"/>
      <c r="I44" s="219"/>
      <c r="J44" s="198" t="s">
        <v>365</v>
      </c>
      <c r="K44" s="182"/>
      <c r="L44" s="182"/>
      <c r="M44" s="199"/>
      <c r="N44" s="198" t="s">
        <v>351</v>
      </c>
      <c r="O44" s="182"/>
      <c r="P44" s="182"/>
      <c r="Q44" s="199"/>
    </row>
    <row r="45" spans="1:17" ht="25.5" x14ac:dyDescent="0.55000000000000004">
      <c r="A45" s="198" t="s">
        <v>364</v>
      </c>
      <c r="B45" s="182"/>
      <c r="C45" s="182"/>
      <c r="D45" s="199"/>
      <c r="E45" s="198" t="s">
        <v>349</v>
      </c>
      <c r="F45" s="182"/>
      <c r="G45" s="182"/>
      <c r="H45" s="199"/>
      <c r="I45" s="219"/>
      <c r="J45" s="198" t="s">
        <v>367</v>
      </c>
      <c r="K45" s="182"/>
      <c r="L45" s="182"/>
      <c r="M45" s="199"/>
      <c r="N45" s="198" t="s">
        <v>373</v>
      </c>
      <c r="O45" s="182"/>
      <c r="P45" s="182"/>
      <c r="Q45" s="199"/>
    </row>
    <row r="46" spans="1:17" ht="25.5" x14ac:dyDescent="0.55000000000000004">
      <c r="A46" s="198" t="s">
        <v>350</v>
      </c>
      <c r="B46" s="182"/>
      <c r="C46" s="182"/>
      <c r="D46" s="199"/>
      <c r="E46" s="198"/>
      <c r="F46" s="182"/>
      <c r="G46" s="182"/>
      <c r="H46" s="199"/>
      <c r="I46" s="219"/>
      <c r="J46" s="198" t="s">
        <v>363</v>
      </c>
      <c r="K46" s="182"/>
      <c r="L46" s="182"/>
      <c r="M46" s="199"/>
      <c r="N46" s="198" t="s">
        <v>372</v>
      </c>
      <c r="O46" s="182"/>
      <c r="P46" s="182"/>
      <c r="Q46" s="199"/>
    </row>
    <row r="47" spans="1:17" ht="25.5" x14ac:dyDescent="0.55000000000000004">
      <c r="A47" s="198"/>
      <c r="B47" s="182"/>
      <c r="C47" s="182"/>
      <c r="D47" s="199"/>
      <c r="E47" s="198"/>
      <c r="F47" s="182"/>
      <c r="G47" s="182"/>
      <c r="H47" s="199"/>
      <c r="I47" s="219"/>
      <c r="J47" s="198" t="s">
        <v>369</v>
      </c>
      <c r="K47" s="182"/>
      <c r="L47" s="182"/>
      <c r="M47" s="199"/>
      <c r="N47" s="198" t="s">
        <v>371</v>
      </c>
      <c r="O47" s="182"/>
      <c r="P47" s="182"/>
      <c r="Q47" s="199"/>
    </row>
    <row r="48" spans="1:17" ht="25.5" x14ac:dyDescent="0.55000000000000004">
      <c r="A48" s="196"/>
      <c r="B48" s="187"/>
      <c r="C48" s="187"/>
      <c r="D48" s="197"/>
      <c r="E48" s="198"/>
      <c r="F48" s="182"/>
      <c r="G48" s="182"/>
      <c r="H48" s="199"/>
      <c r="I48" s="219"/>
      <c r="J48" s="198"/>
      <c r="K48" s="182"/>
      <c r="L48" s="182"/>
      <c r="M48" s="199"/>
      <c r="N48" s="198" t="s">
        <v>379</v>
      </c>
      <c r="O48" s="182"/>
      <c r="P48" s="182"/>
      <c r="Q48" s="199"/>
    </row>
    <row r="49" spans="1:17" ht="26.25" thickBot="1" x14ac:dyDescent="0.6">
      <c r="A49" s="212"/>
      <c r="B49" s="213"/>
      <c r="C49" s="213"/>
      <c r="D49" s="214"/>
      <c r="E49" s="215"/>
      <c r="F49" s="216"/>
      <c r="G49" s="216"/>
      <c r="H49" s="217"/>
      <c r="I49" s="219"/>
      <c r="J49" s="215"/>
      <c r="K49" s="216"/>
      <c r="L49" s="216"/>
      <c r="M49" s="217"/>
      <c r="N49" s="215"/>
      <c r="O49" s="216"/>
      <c r="P49" s="216"/>
      <c r="Q49" s="217"/>
    </row>
    <row r="50" spans="1:17" ht="26.25" thickBot="1" x14ac:dyDescent="0.6">
      <c r="A50" s="200" t="s">
        <v>295</v>
      </c>
      <c r="B50" s="201"/>
      <c r="C50" s="201"/>
      <c r="D50" s="202"/>
      <c r="E50" s="200" t="s">
        <v>295</v>
      </c>
      <c r="F50" s="201"/>
      <c r="G50" s="201"/>
      <c r="H50" s="202"/>
      <c r="I50" s="219"/>
      <c r="J50" s="200" t="s">
        <v>295</v>
      </c>
      <c r="K50" s="201"/>
      <c r="L50" s="201"/>
      <c r="M50" s="202"/>
      <c r="N50" s="203" t="s">
        <v>295</v>
      </c>
      <c r="O50" s="204"/>
      <c r="P50" s="204"/>
      <c r="Q50" s="205"/>
    </row>
    <row r="51" spans="1:17" ht="25.5" x14ac:dyDescent="0.55000000000000004">
      <c r="A51" s="206" t="s">
        <v>352</v>
      </c>
      <c r="B51" s="207"/>
      <c r="C51" s="207"/>
      <c r="D51" s="208"/>
      <c r="E51" s="206" t="s">
        <v>359</v>
      </c>
      <c r="F51" s="207"/>
      <c r="G51" s="207"/>
      <c r="H51" s="208"/>
      <c r="I51" s="219"/>
      <c r="J51" s="209" t="s">
        <v>381</v>
      </c>
      <c r="K51" s="210"/>
      <c r="L51" s="210"/>
      <c r="M51" s="211"/>
      <c r="N51" s="206" t="s">
        <v>380</v>
      </c>
      <c r="O51" s="207"/>
      <c r="P51" s="207"/>
      <c r="Q51" s="208"/>
    </row>
    <row r="52" spans="1:17" ht="25.5" x14ac:dyDescent="0.55000000000000004">
      <c r="A52" s="198" t="s">
        <v>353</v>
      </c>
      <c r="B52" s="182"/>
      <c r="C52" s="182"/>
      <c r="D52" s="199"/>
      <c r="E52" s="198"/>
      <c r="F52" s="182"/>
      <c r="G52" s="182"/>
      <c r="H52" s="199"/>
      <c r="I52" s="219"/>
      <c r="J52" s="198" t="s">
        <v>382</v>
      </c>
      <c r="K52" s="182"/>
      <c r="L52" s="182"/>
      <c r="M52" s="184"/>
      <c r="N52" s="198"/>
      <c r="O52" s="182"/>
      <c r="P52" s="182"/>
      <c r="Q52" s="199"/>
    </row>
    <row r="53" spans="1:17" ht="25.5" x14ac:dyDescent="0.55000000000000004">
      <c r="A53" s="198" t="s">
        <v>354</v>
      </c>
      <c r="B53" s="182"/>
      <c r="C53" s="182"/>
      <c r="D53" s="199"/>
      <c r="E53" s="198"/>
      <c r="F53" s="182"/>
      <c r="G53" s="182"/>
      <c r="H53" s="199"/>
      <c r="I53" s="219"/>
      <c r="J53" s="198"/>
      <c r="K53" s="182"/>
      <c r="L53" s="182"/>
      <c r="M53" s="184"/>
      <c r="N53" s="198"/>
      <c r="O53" s="182"/>
      <c r="P53" s="182"/>
      <c r="Q53" s="199"/>
    </row>
    <row r="54" spans="1:17" ht="26.25" thickBot="1" x14ac:dyDescent="0.6">
      <c r="A54" s="215"/>
      <c r="B54" s="216"/>
      <c r="C54" s="216"/>
      <c r="D54" s="217"/>
      <c r="E54" s="215"/>
      <c r="F54" s="216"/>
      <c r="G54" s="216"/>
      <c r="H54" s="217"/>
      <c r="I54" s="220"/>
      <c r="J54" s="215"/>
      <c r="K54" s="216"/>
      <c r="L54" s="216"/>
      <c r="M54" s="221"/>
      <c r="N54" s="215"/>
      <c r="O54" s="216"/>
      <c r="P54" s="216"/>
      <c r="Q54" s="217"/>
    </row>
    <row r="55" spans="1:17" ht="21.75" thickBot="1" x14ac:dyDescent="0.6"/>
    <row r="56" spans="1:17" ht="31.5" x14ac:dyDescent="0.55000000000000004">
      <c r="A56" s="189" t="s">
        <v>383</v>
      </c>
      <c r="B56" s="189"/>
      <c r="C56" s="189"/>
      <c r="D56" s="189"/>
      <c r="E56" s="189"/>
      <c r="F56" s="189"/>
      <c r="G56" s="189"/>
      <c r="H56" s="189"/>
      <c r="I56" s="190"/>
      <c r="J56" s="189" t="s">
        <v>383</v>
      </c>
      <c r="K56" s="189"/>
      <c r="L56" s="189"/>
      <c r="M56" s="189"/>
      <c r="N56" s="189"/>
      <c r="O56" s="189"/>
      <c r="P56" s="189"/>
      <c r="Q56" s="189"/>
    </row>
    <row r="57" spans="1:17" ht="41.25" x14ac:dyDescent="0.55000000000000004">
      <c r="A57" s="193" t="s">
        <v>211</v>
      </c>
      <c r="B57" s="193"/>
      <c r="C57" s="193"/>
      <c r="D57" s="193"/>
      <c r="E57" s="193"/>
      <c r="F57" s="193"/>
      <c r="G57" s="193"/>
      <c r="H57" s="193"/>
      <c r="I57" s="191"/>
      <c r="J57" s="193" t="s">
        <v>377</v>
      </c>
      <c r="K57" s="193"/>
      <c r="L57" s="193"/>
      <c r="M57" s="193"/>
      <c r="N57" s="193"/>
      <c r="O57" s="193"/>
      <c r="P57" s="193"/>
      <c r="Q57" s="193"/>
    </row>
    <row r="58" spans="1:17" ht="25.5" x14ac:dyDescent="0.55000000000000004">
      <c r="A58" s="194" t="s">
        <v>290</v>
      </c>
      <c r="B58" s="194"/>
      <c r="C58" s="194"/>
      <c r="D58" s="194"/>
      <c r="E58" s="194" t="s">
        <v>291</v>
      </c>
      <c r="F58" s="194"/>
      <c r="G58" s="194"/>
      <c r="H58" s="194"/>
      <c r="I58" s="191"/>
      <c r="J58" s="194" t="s">
        <v>290</v>
      </c>
      <c r="K58" s="194"/>
      <c r="L58" s="194"/>
      <c r="M58" s="194"/>
      <c r="N58" s="194" t="s">
        <v>291</v>
      </c>
      <c r="O58" s="194"/>
      <c r="P58" s="194"/>
      <c r="Q58" s="194"/>
    </row>
    <row r="59" spans="1:17" ht="25.5" x14ac:dyDescent="0.55000000000000004">
      <c r="A59" s="183" t="s">
        <v>292</v>
      </c>
      <c r="B59" s="183"/>
      <c r="C59" s="183"/>
      <c r="D59" s="183"/>
      <c r="E59" s="183" t="s">
        <v>292</v>
      </c>
      <c r="F59" s="183"/>
      <c r="G59" s="183"/>
      <c r="H59" s="183"/>
      <c r="I59" s="191"/>
      <c r="J59" s="183" t="s">
        <v>292</v>
      </c>
      <c r="K59" s="183"/>
      <c r="L59" s="183"/>
      <c r="M59" s="183"/>
      <c r="N59" s="183" t="s">
        <v>292</v>
      </c>
      <c r="O59" s="183"/>
      <c r="P59" s="183"/>
      <c r="Q59" s="183"/>
    </row>
    <row r="60" spans="1:17" ht="25.5" x14ac:dyDescent="0.55000000000000004">
      <c r="A60" s="195" t="s">
        <v>345</v>
      </c>
      <c r="B60" s="195"/>
      <c r="C60" s="195"/>
      <c r="D60" s="195"/>
      <c r="E60" s="182" t="s">
        <v>328</v>
      </c>
      <c r="F60" s="182"/>
      <c r="G60" s="182"/>
      <c r="H60" s="182"/>
      <c r="I60" s="191"/>
      <c r="J60" s="182" t="s">
        <v>346</v>
      </c>
      <c r="K60" s="182"/>
      <c r="L60" s="182"/>
      <c r="M60" s="182"/>
      <c r="N60" s="182" t="s">
        <v>360</v>
      </c>
      <c r="O60" s="182"/>
      <c r="P60" s="182"/>
      <c r="Q60" s="182"/>
    </row>
    <row r="61" spans="1:17" ht="25.5" x14ac:dyDescent="0.55000000000000004">
      <c r="A61" s="182" t="s">
        <v>355</v>
      </c>
      <c r="B61" s="182"/>
      <c r="C61" s="182"/>
      <c r="D61" s="182"/>
      <c r="E61" s="182"/>
      <c r="F61" s="182"/>
      <c r="G61" s="182"/>
      <c r="H61" s="182"/>
      <c r="I61" s="191"/>
      <c r="J61" s="184" t="s">
        <v>336</v>
      </c>
      <c r="K61" s="185"/>
      <c r="L61" s="185"/>
      <c r="M61" s="186"/>
      <c r="N61" s="182"/>
      <c r="O61" s="182"/>
      <c r="P61" s="182"/>
      <c r="Q61" s="182"/>
    </row>
    <row r="62" spans="1:17" ht="25.5" x14ac:dyDescent="0.55000000000000004">
      <c r="A62" s="182" t="s">
        <v>356</v>
      </c>
      <c r="B62" s="182"/>
      <c r="C62" s="182"/>
      <c r="D62" s="182"/>
      <c r="E62" s="182"/>
      <c r="F62" s="182"/>
      <c r="G62" s="182"/>
      <c r="H62" s="182"/>
      <c r="I62" s="191"/>
      <c r="J62" s="184" t="s">
        <v>391</v>
      </c>
      <c r="K62" s="185"/>
      <c r="L62" s="185"/>
      <c r="M62" s="186"/>
      <c r="N62" s="182"/>
      <c r="O62" s="182"/>
      <c r="P62" s="182"/>
      <c r="Q62" s="182"/>
    </row>
    <row r="63" spans="1:17" ht="25.5" x14ac:dyDescent="0.55000000000000004">
      <c r="A63" s="182"/>
      <c r="B63" s="182"/>
      <c r="C63" s="182"/>
      <c r="D63" s="182"/>
      <c r="E63" s="182"/>
      <c r="F63" s="182"/>
      <c r="G63" s="182"/>
      <c r="H63" s="182"/>
      <c r="I63" s="191"/>
      <c r="J63" s="184" t="s">
        <v>357</v>
      </c>
      <c r="K63" s="185"/>
      <c r="L63" s="185"/>
      <c r="M63" s="186"/>
      <c r="N63" s="182"/>
      <c r="O63" s="182"/>
      <c r="P63" s="182"/>
      <c r="Q63" s="182"/>
    </row>
    <row r="64" spans="1:17" ht="25.5" x14ac:dyDescent="0.55000000000000004">
      <c r="A64" s="183" t="s">
        <v>293</v>
      </c>
      <c r="B64" s="183"/>
      <c r="C64" s="183"/>
      <c r="D64" s="183"/>
      <c r="E64" s="183" t="s">
        <v>293</v>
      </c>
      <c r="F64" s="183"/>
      <c r="G64" s="183"/>
      <c r="H64" s="183"/>
      <c r="I64" s="191"/>
      <c r="J64" s="183" t="s">
        <v>293</v>
      </c>
      <c r="K64" s="183"/>
      <c r="L64" s="183"/>
      <c r="M64" s="183"/>
      <c r="N64" s="183" t="s">
        <v>293</v>
      </c>
      <c r="O64" s="183"/>
      <c r="P64" s="183"/>
      <c r="Q64" s="183"/>
    </row>
    <row r="65" spans="1:17" ht="25.5" x14ac:dyDescent="0.55000000000000004">
      <c r="A65" s="182" t="s">
        <v>329</v>
      </c>
      <c r="B65" s="182"/>
      <c r="C65" s="182"/>
      <c r="D65" s="182"/>
      <c r="E65" s="182" t="s">
        <v>334</v>
      </c>
      <c r="F65" s="182"/>
      <c r="G65" s="182"/>
      <c r="H65" s="182"/>
      <c r="I65" s="191"/>
      <c r="J65" s="182" t="s">
        <v>362</v>
      </c>
      <c r="K65" s="182"/>
      <c r="L65" s="182"/>
      <c r="M65" s="182"/>
      <c r="N65" s="182" t="s">
        <v>361</v>
      </c>
      <c r="O65" s="182"/>
      <c r="P65" s="182"/>
      <c r="Q65" s="182"/>
    </row>
    <row r="66" spans="1:17" ht="25.5" x14ac:dyDescent="0.55000000000000004">
      <c r="A66" s="182"/>
      <c r="B66" s="182"/>
      <c r="C66" s="182"/>
      <c r="D66" s="182"/>
      <c r="E66" s="182"/>
      <c r="F66" s="182"/>
      <c r="G66" s="182"/>
      <c r="H66" s="182"/>
      <c r="I66" s="191"/>
      <c r="J66" s="182"/>
      <c r="K66" s="182"/>
      <c r="L66" s="182"/>
      <c r="M66" s="182"/>
      <c r="N66" s="182"/>
      <c r="O66" s="182"/>
      <c r="P66" s="182"/>
      <c r="Q66" s="182"/>
    </row>
    <row r="67" spans="1:17" ht="25.5" x14ac:dyDescent="0.55000000000000004">
      <c r="A67" s="182"/>
      <c r="B67" s="182"/>
      <c r="C67" s="182"/>
      <c r="D67" s="182"/>
      <c r="E67" s="182"/>
      <c r="F67" s="182"/>
      <c r="G67" s="182"/>
      <c r="H67" s="182"/>
      <c r="I67" s="191"/>
      <c r="J67" s="188"/>
      <c r="K67" s="188"/>
      <c r="L67" s="188"/>
      <c r="M67" s="188"/>
      <c r="N67" s="182"/>
      <c r="O67" s="182"/>
      <c r="P67" s="182"/>
      <c r="Q67" s="182"/>
    </row>
    <row r="68" spans="1:17" ht="25.5" x14ac:dyDescent="0.55000000000000004">
      <c r="A68" s="182"/>
      <c r="B68" s="182"/>
      <c r="C68" s="182"/>
      <c r="D68" s="182"/>
      <c r="E68" s="182"/>
      <c r="F68" s="182"/>
      <c r="G68" s="182"/>
      <c r="H68" s="182"/>
      <c r="I68" s="191"/>
      <c r="J68" s="182"/>
      <c r="K68" s="182"/>
      <c r="L68" s="182"/>
      <c r="M68" s="182"/>
      <c r="N68" s="182"/>
      <c r="O68" s="182"/>
      <c r="P68" s="182"/>
      <c r="Q68" s="182"/>
    </row>
    <row r="69" spans="1:17" ht="25.5" x14ac:dyDescent="0.55000000000000004">
      <c r="A69" s="183" t="s">
        <v>294</v>
      </c>
      <c r="B69" s="183"/>
      <c r="C69" s="183"/>
      <c r="D69" s="183"/>
      <c r="E69" s="183" t="s">
        <v>294</v>
      </c>
      <c r="F69" s="183"/>
      <c r="G69" s="183"/>
      <c r="H69" s="183"/>
      <c r="I69" s="191"/>
      <c r="J69" s="183" t="s">
        <v>294</v>
      </c>
      <c r="K69" s="183"/>
      <c r="L69" s="183"/>
      <c r="M69" s="183"/>
      <c r="N69" s="183" t="s">
        <v>294</v>
      </c>
      <c r="O69" s="183"/>
      <c r="P69" s="183"/>
      <c r="Q69" s="183"/>
    </row>
    <row r="70" spans="1:17" ht="25.5" x14ac:dyDescent="0.55000000000000004">
      <c r="A70" s="182" t="s">
        <v>337</v>
      </c>
      <c r="B70" s="182"/>
      <c r="C70" s="182"/>
      <c r="D70" s="182"/>
      <c r="E70" s="182" t="s">
        <v>339</v>
      </c>
      <c r="F70" s="182"/>
      <c r="G70" s="182"/>
      <c r="H70" s="182"/>
      <c r="I70" s="191"/>
      <c r="J70" s="182" t="s">
        <v>392</v>
      </c>
      <c r="K70" s="182"/>
      <c r="L70" s="182"/>
      <c r="M70" s="182"/>
      <c r="N70" s="184" t="s">
        <v>351</v>
      </c>
      <c r="O70" s="185"/>
      <c r="P70" s="185"/>
      <c r="Q70" s="186"/>
    </row>
    <row r="71" spans="1:17" ht="25.5" x14ac:dyDescent="0.55000000000000004">
      <c r="A71" s="182" t="s">
        <v>341</v>
      </c>
      <c r="B71" s="182"/>
      <c r="C71" s="182"/>
      <c r="D71" s="182"/>
      <c r="E71" s="182" t="s">
        <v>384</v>
      </c>
      <c r="F71" s="182"/>
      <c r="G71" s="182"/>
      <c r="H71" s="182"/>
      <c r="I71" s="191"/>
      <c r="J71" s="182" t="s">
        <v>365</v>
      </c>
      <c r="K71" s="182"/>
      <c r="L71" s="182"/>
      <c r="M71" s="182"/>
      <c r="N71" s="184" t="s">
        <v>363</v>
      </c>
      <c r="O71" s="185"/>
      <c r="P71" s="185"/>
      <c r="Q71" s="186"/>
    </row>
    <row r="72" spans="1:17" ht="25.5" x14ac:dyDescent="0.55000000000000004">
      <c r="A72" s="182" t="s">
        <v>387</v>
      </c>
      <c r="B72" s="182"/>
      <c r="C72" s="182"/>
      <c r="D72" s="182"/>
      <c r="E72" s="182" t="s">
        <v>350</v>
      </c>
      <c r="F72" s="182"/>
      <c r="G72" s="182"/>
      <c r="H72" s="182"/>
      <c r="I72" s="191"/>
      <c r="J72" s="182" t="s">
        <v>371</v>
      </c>
      <c r="K72" s="182"/>
      <c r="L72" s="182"/>
      <c r="M72" s="182"/>
      <c r="N72" s="184" t="s">
        <v>370</v>
      </c>
      <c r="O72" s="185"/>
      <c r="P72" s="185"/>
      <c r="Q72" s="186"/>
    </row>
    <row r="73" spans="1:17" ht="25.5" x14ac:dyDescent="0.55000000000000004">
      <c r="A73" s="182" t="s">
        <v>388</v>
      </c>
      <c r="B73" s="182"/>
      <c r="C73" s="182"/>
      <c r="D73" s="182"/>
      <c r="E73" s="182" t="s">
        <v>340</v>
      </c>
      <c r="F73" s="182"/>
      <c r="G73" s="182"/>
      <c r="H73" s="182"/>
      <c r="I73" s="191"/>
      <c r="J73" s="182" t="s">
        <v>374</v>
      </c>
      <c r="K73" s="182"/>
      <c r="L73" s="182"/>
      <c r="M73" s="182"/>
      <c r="N73" s="184" t="s">
        <v>379</v>
      </c>
      <c r="O73" s="185"/>
      <c r="P73" s="185"/>
      <c r="Q73" s="186"/>
    </row>
    <row r="74" spans="1:17" ht="25.5" x14ac:dyDescent="0.55000000000000004">
      <c r="A74" s="182"/>
      <c r="B74" s="182"/>
      <c r="C74" s="182"/>
      <c r="D74" s="182"/>
      <c r="E74" s="182"/>
      <c r="F74" s="182"/>
      <c r="G74" s="182"/>
      <c r="H74" s="182"/>
      <c r="I74" s="191"/>
      <c r="J74" s="182"/>
      <c r="K74" s="182"/>
      <c r="L74" s="182"/>
      <c r="M74" s="182"/>
      <c r="N74" s="184" t="s">
        <v>369</v>
      </c>
      <c r="O74" s="185"/>
      <c r="P74" s="185"/>
      <c r="Q74" s="186"/>
    </row>
    <row r="75" spans="1:17" ht="25.5" x14ac:dyDescent="0.55000000000000004">
      <c r="A75" s="187"/>
      <c r="B75" s="187"/>
      <c r="C75" s="187"/>
      <c r="D75" s="187"/>
      <c r="E75" s="182"/>
      <c r="F75" s="182"/>
      <c r="G75" s="182"/>
      <c r="H75" s="182"/>
      <c r="I75" s="191"/>
      <c r="J75" s="182"/>
      <c r="K75" s="182"/>
      <c r="L75" s="182"/>
      <c r="M75" s="182"/>
      <c r="N75" s="184" t="s">
        <v>389</v>
      </c>
      <c r="O75" s="185"/>
      <c r="P75" s="185"/>
      <c r="Q75" s="186"/>
    </row>
    <row r="76" spans="1:17" ht="25.5" x14ac:dyDescent="0.55000000000000004">
      <c r="A76" s="187"/>
      <c r="B76" s="187"/>
      <c r="C76" s="187"/>
      <c r="D76" s="187"/>
      <c r="E76" s="182"/>
      <c r="F76" s="182"/>
      <c r="G76" s="182"/>
      <c r="H76" s="182"/>
      <c r="I76" s="191"/>
      <c r="J76" s="182"/>
      <c r="K76" s="182"/>
      <c r="L76" s="182"/>
      <c r="M76" s="182"/>
      <c r="N76" s="182"/>
      <c r="O76" s="182"/>
      <c r="P76" s="182"/>
      <c r="Q76" s="182"/>
    </row>
    <row r="77" spans="1:17" ht="25.5" x14ac:dyDescent="0.55000000000000004">
      <c r="A77" s="183" t="s">
        <v>295</v>
      </c>
      <c r="B77" s="183"/>
      <c r="C77" s="183"/>
      <c r="D77" s="183"/>
      <c r="E77" s="183" t="s">
        <v>295</v>
      </c>
      <c r="F77" s="183"/>
      <c r="G77" s="183"/>
      <c r="H77" s="183"/>
      <c r="I77" s="191"/>
      <c r="J77" s="183" t="s">
        <v>295</v>
      </c>
      <c r="K77" s="183"/>
      <c r="L77" s="183"/>
      <c r="M77" s="183"/>
      <c r="N77" s="183" t="s">
        <v>295</v>
      </c>
      <c r="O77" s="183"/>
      <c r="P77" s="183"/>
      <c r="Q77" s="183"/>
    </row>
    <row r="78" spans="1:17" ht="25.5" x14ac:dyDescent="0.55000000000000004">
      <c r="A78" s="182" t="s">
        <v>386</v>
      </c>
      <c r="B78" s="182"/>
      <c r="C78" s="182"/>
      <c r="D78" s="182"/>
      <c r="E78" s="182" t="s">
        <v>385</v>
      </c>
      <c r="F78" s="182"/>
      <c r="G78" s="182"/>
      <c r="H78" s="182"/>
      <c r="I78" s="191"/>
      <c r="J78" s="182" t="s">
        <v>382</v>
      </c>
      <c r="K78" s="182"/>
      <c r="L78" s="182"/>
      <c r="M78" s="182"/>
      <c r="N78" s="182" t="s">
        <v>390</v>
      </c>
      <c r="O78" s="182"/>
      <c r="P78" s="182"/>
      <c r="Q78" s="182"/>
    </row>
    <row r="79" spans="1:17" ht="25.5" x14ac:dyDescent="0.55000000000000004">
      <c r="A79" s="182" t="s">
        <v>352</v>
      </c>
      <c r="B79" s="182"/>
      <c r="C79" s="182"/>
      <c r="D79" s="182"/>
      <c r="E79" s="182"/>
      <c r="F79" s="182"/>
      <c r="G79" s="182"/>
      <c r="H79" s="182"/>
      <c r="I79" s="191"/>
      <c r="J79" s="182"/>
      <c r="K79" s="182"/>
      <c r="L79" s="182"/>
      <c r="M79" s="182"/>
      <c r="N79" s="182"/>
      <c r="O79" s="182"/>
      <c r="P79" s="182"/>
      <c r="Q79" s="182"/>
    </row>
    <row r="80" spans="1:17" ht="25.5" x14ac:dyDescent="0.55000000000000004">
      <c r="A80" s="182"/>
      <c r="B80" s="182"/>
      <c r="C80" s="182"/>
      <c r="D80" s="182"/>
      <c r="E80" s="182"/>
      <c r="F80" s="182"/>
      <c r="G80" s="182"/>
      <c r="H80" s="182"/>
      <c r="I80" s="191"/>
      <c r="J80" s="182"/>
      <c r="K80" s="182"/>
      <c r="L80" s="182"/>
      <c r="M80" s="182"/>
      <c r="N80" s="182"/>
      <c r="O80" s="182"/>
      <c r="P80" s="182"/>
      <c r="Q80" s="182"/>
    </row>
    <row r="81" spans="1:17" ht="26.25" thickBot="1" x14ac:dyDescent="0.6">
      <c r="A81" s="182"/>
      <c r="B81" s="182"/>
      <c r="C81" s="182"/>
      <c r="D81" s="182"/>
      <c r="E81" s="182"/>
      <c r="F81" s="182"/>
      <c r="G81" s="182"/>
      <c r="H81" s="182"/>
      <c r="I81" s="192"/>
      <c r="J81" s="182"/>
      <c r="K81" s="182"/>
      <c r="L81" s="182"/>
      <c r="M81" s="182"/>
      <c r="N81" s="182"/>
      <c r="O81" s="182"/>
      <c r="P81" s="182"/>
      <c r="Q81" s="182"/>
    </row>
    <row r="82" spans="1:17" ht="21.75" thickBot="1" x14ac:dyDescent="0.6"/>
    <row r="83" spans="1:17" ht="31.5" x14ac:dyDescent="0.55000000000000004">
      <c r="A83" s="189" t="s">
        <v>399</v>
      </c>
      <c r="B83" s="189"/>
      <c r="C83" s="189"/>
      <c r="D83" s="189"/>
      <c r="E83" s="189"/>
      <c r="F83" s="189"/>
      <c r="G83" s="189"/>
      <c r="H83" s="189"/>
      <c r="I83" s="190"/>
      <c r="J83" s="189" t="s">
        <v>399</v>
      </c>
      <c r="K83" s="189"/>
      <c r="L83" s="189"/>
      <c r="M83" s="189"/>
      <c r="N83" s="189"/>
      <c r="O83" s="189"/>
      <c r="P83" s="189"/>
      <c r="Q83" s="189"/>
    </row>
    <row r="84" spans="1:17" ht="41.25" x14ac:dyDescent="0.55000000000000004">
      <c r="A84" s="193" t="s">
        <v>211</v>
      </c>
      <c r="B84" s="193"/>
      <c r="C84" s="193"/>
      <c r="D84" s="193"/>
      <c r="E84" s="193"/>
      <c r="F84" s="193"/>
      <c r="G84" s="193"/>
      <c r="H84" s="193"/>
      <c r="I84" s="191"/>
      <c r="J84" s="193" t="s">
        <v>377</v>
      </c>
      <c r="K84" s="193"/>
      <c r="L84" s="193"/>
      <c r="M84" s="193"/>
      <c r="N84" s="193"/>
      <c r="O84" s="193"/>
      <c r="P84" s="193"/>
      <c r="Q84" s="193"/>
    </row>
    <row r="85" spans="1:17" ht="25.5" x14ac:dyDescent="0.55000000000000004">
      <c r="A85" s="194" t="s">
        <v>290</v>
      </c>
      <c r="B85" s="194"/>
      <c r="C85" s="194"/>
      <c r="D85" s="194"/>
      <c r="E85" s="194" t="s">
        <v>291</v>
      </c>
      <c r="F85" s="194"/>
      <c r="G85" s="194"/>
      <c r="H85" s="194"/>
      <c r="I85" s="191"/>
      <c r="J85" s="194" t="s">
        <v>290</v>
      </c>
      <c r="K85" s="194"/>
      <c r="L85" s="194"/>
      <c r="M85" s="194"/>
      <c r="N85" s="194" t="s">
        <v>291</v>
      </c>
      <c r="O85" s="194"/>
      <c r="P85" s="194"/>
      <c r="Q85" s="194"/>
    </row>
    <row r="86" spans="1:17" ht="25.5" x14ac:dyDescent="0.55000000000000004">
      <c r="A86" s="183" t="s">
        <v>292</v>
      </c>
      <c r="B86" s="183"/>
      <c r="C86" s="183"/>
      <c r="D86" s="183"/>
      <c r="E86" s="183" t="s">
        <v>292</v>
      </c>
      <c r="F86" s="183"/>
      <c r="G86" s="183"/>
      <c r="H86" s="183"/>
      <c r="I86" s="191"/>
      <c r="J86" s="183" t="s">
        <v>292</v>
      </c>
      <c r="K86" s="183"/>
      <c r="L86" s="183"/>
      <c r="M86" s="183"/>
      <c r="N86" s="183" t="s">
        <v>292</v>
      </c>
      <c r="O86" s="183"/>
      <c r="P86" s="183"/>
      <c r="Q86" s="183"/>
    </row>
    <row r="87" spans="1:17" ht="25.5" x14ac:dyDescent="0.55000000000000004">
      <c r="A87" s="195" t="s">
        <v>328</v>
      </c>
      <c r="B87" s="195"/>
      <c r="C87" s="195"/>
      <c r="D87" s="195"/>
      <c r="E87" s="182" t="s">
        <v>345</v>
      </c>
      <c r="F87" s="182"/>
      <c r="G87" s="182"/>
      <c r="H87" s="182"/>
      <c r="I87" s="191"/>
      <c r="J87" s="182" t="s">
        <v>407</v>
      </c>
      <c r="K87" s="182"/>
      <c r="L87" s="182"/>
      <c r="M87" s="182"/>
      <c r="N87" s="182" t="s">
        <v>346</v>
      </c>
      <c r="O87" s="182"/>
      <c r="P87" s="182"/>
      <c r="Q87" s="182"/>
    </row>
    <row r="88" spans="1:17" ht="25.5" x14ac:dyDescent="0.55000000000000004">
      <c r="A88" s="182"/>
      <c r="B88" s="182"/>
      <c r="C88" s="182"/>
      <c r="D88" s="182"/>
      <c r="E88" s="182"/>
      <c r="F88" s="182"/>
      <c r="G88" s="182"/>
      <c r="H88" s="182"/>
      <c r="I88" s="191"/>
      <c r="J88" s="184" t="s">
        <v>391</v>
      </c>
      <c r="K88" s="185"/>
      <c r="L88" s="185"/>
      <c r="M88" s="186"/>
      <c r="N88" s="182" t="s">
        <v>414</v>
      </c>
      <c r="O88" s="182"/>
      <c r="P88" s="182"/>
      <c r="Q88" s="182"/>
    </row>
    <row r="89" spans="1:17" ht="25.5" x14ac:dyDescent="0.55000000000000004">
      <c r="A89" s="182"/>
      <c r="B89" s="182"/>
      <c r="C89" s="182"/>
      <c r="D89" s="182"/>
      <c r="E89" s="182"/>
      <c r="F89" s="182"/>
      <c r="G89" s="182"/>
      <c r="H89" s="182"/>
      <c r="I89" s="191"/>
      <c r="J89" s="184"/>
      <c r="K89" s="185"/>
      <c r="L89" s="185"/>
      <c r="M89" s="186"/>
      <c r="N89" s="182"/>
      <c r="O89" s="182"/>
      <c r="P89" s="182"/>
      <c r="Q89" s="182"/>
    </row>
    <row r="90" spans="1:17" ht="25.5" x14ac:dyDescent="0.55000000000000004">
      <c r="A90" s="182"/>
      <c r="B90" s="182"/>
      <c r="C90" s="182"/>
      <c r="D90" s="182"/>
      <c r="E90" s="182"/>
      <c r="F90" s="182"/>
      <c r="G90" s="182"/>
      <c r="H90" s="182"/>
      <c r="I90" s="191"/>
      <c r="J90" s="184"/>
      <c r="K90" s="185"/>
      <c r="L90" s="185"/>
      <c r="M90" s="186"/>
      <c r="N90" s="182"/>
      <c r="O90" s="182"/>
      <c r="P90" s="182"/>
      <c r="Q90" s="182"/>
    </row>
    <row r="91" spans="1:17" ht="25.5" x14ac:dyDescent="0.55000000000000004">
      <c r="A91" s="183" t="s">
        <v>293</v>
      </c>
      <c r="B91" s="183"/>
      <c r="C91" s="183"/>
      <c r="D91" s="183"/>
      <c r="E91" s="183" t="s">
        <v>293</v>
      </c>
      <c r="F91" s="183"/>
      <c r="G91" s="183"/>
      <c r="H91" s="183"/>
      <c r="I91" s="191"/>
      <c r="J91" s="183" t="s">
        <v>293</v>
      </c>
      <c r="K91" s="183"/>
      <c r="L91" s="183"/>
      <c r="M91" s="183"/>
      <c r="N91" s="183" t="s">
        <v>293</v>
      </c>
      <c r="O91" s="183"/>
      <c r="P91" s="183"/>
      <c r="Q91" s="183"/>
    </row>
    <row r="92" spans="1:17" ht="25.5" x14ac:dyDescent="0.55000000000000004">
      <c r="A92" s="182" t="s">
        <v>329</v>
      </c>
      <c r="B92" s="182"/>
      <c r="C92" s="182"/>
      <c r="D92" s="182"/>
      <c r="E92" s="182" t="s">
        <v>398</v>
      </c>
      <c r="F92" s="182"/>
      <c r="G92" s="182"/>
      <c r="H92" s="182"/>
      <c r="I92" s="191"/>
      <c r="J92" s="182" t="s">
        <v>408</v>
      </c>
      <c r="K92" s="182"/>
      <c r="L92" s="182"/>
      <c r="M92" s="182"/>
      <c r="N92" s="182" t="s">
        <v>361</v>
      </c>
      <c r="O92" s="182"/>
      <c r="P92" s="182"/>
      <c r="Q92" s="182"/>
    </row>
    <row r="93" spans="1:17" ht="25.5" x14ac:dyDescent="0.55000000000000004">
      <c r="A93" s="182"/>
      <c r="B93" s="182"/>
      <c r="C93" s="182"/>
      <c r="D93" s="182"/>
      <c r="E93" s="182"/>
      <c r="F93" s="182"/>
      <c r="G93" s="182"/>
      <c r="H93" s="182"/>
      <c r="I93" s="191"/>
      <c r="J93" s="182"/>
      <c r="K93" s="182"/>
      <c r="L93" s="182"/>
      <c r="M93" s="182"/>
      <c r="N93" s="182"/>
      <c r="O93" s="182"/>
      <c r="P93" s="182"/>
      <c r="Q93" s="182"/>
    </row>
    <row r="94" spans="1:17" ht="25.5" x14ac:dyDescent="0.55000000000000004">
      <c r="A94" s="182"/>
      <c r="B94" s="182"/>
      <c r="C94" s="182"/>
      <c r="D94" s="182"/>
      <c r="E94" s="182"/>
      <c r="F94" s="182"/>
      <c r="G94" s="182"/>
      <c r="H94" s="182"/>
      <c r="I94" s="191"/>
      <c r="J94" s="188"/>
      <c r="K94" s="188"/>
      <c r="L94" s="188"/>
      <c r="M94" s="188"/>
      <c r="N94" s="182"/>
      <c r="O94" s="182"/>
      <c r="P94" s="182"/>
      <c r="Q94" s="182"/>
    </row>
    <row r="95" spans="1:17" ht="25.5" x14ac:dyDescent="0.55000000000000004">
      <c r="A95" s="182"/>
      <c r="B95" s="182"/>
      <c r="C95" s="182"/>
      <c r="D95" s="182"/>
      <c r="E95" s="182"/>
      <c r="F95" s="182"/>
      <c r="G95" s="182"/>
      <c r="H95" s="182"/>
      <c r="I95" s="191"/>
      <c r="J95" s="182"/>
      <c r="K95" s="182"/>
      <c r="L95" s="182"/>
      <c r="M95" s="182"/>
      <c r="N95" s="182"/>
      <c r="O95" s="182"/>
      <c r="P95" s="182"/>
      <c r="Q95" s="182"/>
    </row>
    <row r="96" spans="1:17" ht="25.5" x14ac:dyDescent="0.55000000000000004">
      <c r="A96" s="183" t="s">
        <v>294</v>
      </c>
      <c r="B96" s="183"/>
      <c r="C96" s="183"/>
      <c r="D96" s="183"/>
      <c r="E96" s="183" t="s">
        <v>294</v>
      </c>
      <c r="F96" s="183"/>
      <c r="G96" s="183"/>
      <c r="H96" s="183"/>
      <c r="I96" s="191"/>
      <c r="J96" s="183" t="s">
        <v>294</v>
      </c>
      <c r="K96" s="183"/>
      <c r="L96" s="183"/>
      <c r="M96" s="183"/>
      <c r="N96" s="183" t="s">
        <v>294</v>
      </c>
      <c r="O96" s="183"/>
      <c r="P96" s="183"/>
      <c r="Q96" s="183"/>
    </row>
    <row r="97" spans="1:17" ht="25.5" x14ac:dyDescent="0.55000000000000004">
      <c r="A97" s="182" t="s">
        <v>395</v>
      </c>
      <c r="B97" s="182"/>
      <c r="C97" s="182"/>
      <c r="D97" s="182"/>
      <c r="E97" s="182" t="s">
        <v>405</v>
      </c>
      <c r="F97" s="182"/>
      <c r="G97" s="182"/>
      <c r="H97" s="182"/>
      <c r="I97" s="191"/>
      <c r="J97" s="182" t="s">
        <v>393</v>
      </c>
      <c r="K97" s="182"/>
      <c r="L97" s="182"/>
      <c r="M97" s="182"/>
      <c r="N97" s="184" t="s">
        <v>370</v>
      </c>
      <c r="O97" s="185"/>
      <c r="P97" s="185"/>
      <c r="Q97" s="186"/>
    </row>
    <row r="98" spans="1:17" ht="25.5" x14ac:dyDescent="0.55000000000000004">
      <c r="A98" s="182" t="s">
        <v>387</v>
      </c>
      <c r="B98" s="182"/>
      <c r="C98" s="182"/>
      <c r="D98" s="182"/>
      <c r="E98" s="182" t="s">
        <v>394</v>
      </c>
      <c r="F98" s="182"/>
      <c r="G98" s="182"/>
      <c r="H98" s="182"/>
      <c r="I98" s="191"/>
      <c r="J98" s="182" t="s">
        <v>365</v>
      </c>
      <c r="K98" s="182"/>
      <c r="L98" s="182"/>
      <c r="M98" s="182"/>
      <c r="N98" s="184" t="s">
        <v>369</v>
      </c>
      <c r="O98" s="185"/>
      <c r="P98" s="185"/>
      <c r="Q98" s="186"/>
    </row>
    <row r="99" spans="1:17" ht="25.5" x14ac:dyDescent="0.55000000000000004">
      <c r="A99" s="182" t="s">
        <v>337</v>
      </c>
      <c r="B99" s="182"/>
      <c r="C99" s="182"/>
      <c r="D99" s="182"/>
      <c r="E99" s="182" t="s">
        <v>406</v>
      </c>
      <c r="F99" s="182"/>
      <c r="G99" s="182"/>
      <c r="H99" s="182"/>
      <c r="I99" s="191"/>
      <c r="J99" s="182" t="s">
        <v>409</v>
      </c>
      <c r="K99" s="182"/>
      <c r="L99" s="182"/>
      <c r="M99" s="182"/>
      <c r="N99" s="184" t="s">
        <v>415</v>
      </c>
      <c r="O99" s="185"/>
      <c r="P99" s="185"/>
      <c r="Q99" s="186"/>
    </row>
    <row r="100" spans="1:17" ht="25.5" x14ac:dyDescent="0.55000000000000004">
      <c r="A100" s="182" t="s">
        <v>400</v>
      </c>
      <c r="B100" s="182"/>
      <c r="C100" s="182"/>
      <c r="D100" s="182"/>
      <c r="E100" s="182" t="s">
        <v>404</v>
      </c>
      <c r="F100" s="182"/>
      <c r="G100" s="182"/>
      <c r="H100" s="182"/>
      <c r="I100" s="191"/>
      <c r="J100" s="182" t="s">
        <v>373</v>
      </c>
      <c r="K100" s="182"/>
      <c r="L100" s="182"/>
      <c r="M100" s="182"/>
      <c r="N100" s="184" t="s">
        <v>416</v>
      </c>
      <c r="O100" s="185"/>
      <c r="P100" s="185"/>
      <c r="Q100" s="186"/>
    </row>
    <row r="101" spans="1:17" ht="25.5" x14ac:dyDescent="0.55000000000000004">
      <c r="A101" s="182" t="s">
        <v>401</v>
      </c>
      <c r="B101" s="182"/>
      <c r="C101" s="182"/>
      <c r="D101" s="182"/>
      <c r="E101" s="182"/>
      <c r="F101" s="182"/>
      <c r="G101" s="182"/>
      <c r="H101" s="182"/>
      <c r="I101" s="191"/>
      <c r="J101" s="182" t="s">
        <v>392</v>
      </c>
      <c r="K101" s="182"/>
      <c r="L101" s="182"/>
      <c r="M101" s="182"/>
      <c r="N101" s="184" t="s">
        <v>417</v>
      </c>
      <c r="O101" s="185"/>
      <c r="P101" s="185"/>
      <c r="Q101" s="186"/>
    </row>
    <row r="102" spans="1:17" ht="25.5" x14ac:dyDescent="0.55000000000000004">
      <c r="A102" s="187"/>
      <c r="B102" s="187"/>
      <c r="C102" s="187"/>
      <c r="D102" s="187"/>
      <c r="E102" s="182"/>
      <c r="F102" s="182"/>
      <c r="G102" s="182"/>
      <c r="H102" s="182"/>
      <c r="I102" s="191"/>
      <c r="J102" s="182"/>
      <c r="K102" s="182"/>
      <c r="L102" s="182"/>
      <c r="M102" s="182"/>
      <c r="N102" s="182" t="s">
        <v>418</v>
      </c>
      <c r="O102" s="182"/>
      <c r="P102" s="182"/>
      <c r="Q102" s="182"/>
    </row>
    <row r="103" spans="1:17" ht="25.5" x14ac:dyDescent="0.55000000000000004">
      <c r="A103" s="187"/>
      <c r="B103" s="187"/>
      <c r="C103" s="187"/>
      <c r="D103" s="187"/>
      <c r="E103" s="182"/>
      <c r="F103" s="182"/>
      <c r="G103" s="182"/>
      <c r="H103" s="182"/>
      <c r="I103" s="191"/>
      <c r="J103" s="182"/>
      <c r="K103" s="182"/>
      <c r="L103" s="182"/>
      <c r="M103" s="182"/>
      <c r="N103" s="182"/>
      <c r="O103" s="182"/>
      <c r="P103" s="182"/>
      <c r="Q103" s="182"/>
    </row>
    <row r="104" spans="1:17" ht="25.5" x14ac:dyDescent="0.55000000000000004">
      <c r="A104" s="183" t="s">
        <v>295</v>
      </c>
      <c r="B104" s="183"/>
      <c r="C104" s="183"/>
      <c r="D104" s="183"/>
      <c r="E104" s="183" t="s">
        <v>295</v>
      </c>
      <c r="F104" s="183"/>
      <c r="G104" s="183"/>
      <c r="H104" s="183"/>
      <c r="I104" s="191"/>
      <c r="J104" s="183" t="s">
        <v>295</v>
      </c>
      <c r="K104" s="183"/>
      <c r="L104" s="183"/>
      <c r="M104" s="183"/>
      <c r="N104" s="183" t="s">
        <v>295</v>
      </c>
      <c r="O104" s="183"/>
      <c r="P104" s="183"/>
      <c r="Q104" s="183"/>
    </row>
    <row r="105" spans="1:17" ht="25.5" x14ac:dyDescent="0.55000000000000004">
      <c r="A105" s="182" t="s">
        <v>402</v>
      </c>
      <c r="B105" s="182"/>
      <c r="C105" s="182"/>
      <c r="D105" s="182"/>
      <c r="E105" s="182" t="s">
        <v>397</v>
      </c>
      <c r="F105" s="182"/>
      <c r="G105" s="182"/>
      <c r="H105" s="182"/>
      <c r="I105" s="191"/>
      <c r="J105" s="182" t="s">
        <v>410</v>
      </c>
      <c r="K105" s="182"/>
      <c r="L105" s="182"/>
      <c r="M105" s="182"/>
      <c r="N105" s="184" t="s">
        <v>390</v>
      </c>
      <c r="O105" s="185"/>
      <c r="P105" s="185"/>
      <c r="Q105" s="186"/>
    </row>
    <row r="106" spans="1:17" ht="25.5" x14ac:dyDescent="0.55000000000000004">
      <c r="A106" s="182" t="s">
        <v>403</v>
      </c>
      <c r="B106" s="182"/>
      <c r="C106" s="182"/>
      <c r="D106" s="182"/>
      <c r="E106" s="182"/>
      <c r="F106" s="182"/>
      <c r="G106" s="182"/>
      <c r="H106" s="182"/>
      <c r="I106" s="191"/>
      <c r="J106" s="182" t="s">
        <v>411</v>
      </c>
      <c r="K106" s="182"/>
      <c r="L106" s="182"/>
      <c r="M106" s="182"/>
      <c r="N106" s="182"/>
      <c r="O106" s="182"/>
      <c r="P106" s="182"/>
      <c r="Q106" s="182"/>
    </row>
    <row r="107" spans="1:17" ht="25.5" x14ac:dyDescent="0.55000000000000004">
      <c r="A107" s="182" t="s">
        <v>396</v>
      </c>
      <c r="B107" s="182"/>
      <c r="C107" s="182"/>
      <c r="D107" s="182"/>
      <c r="E107" s="182"/>
      <c r="F107" s="182"/>
      <c r="G107" s="182"/>
      <c r="H107" s="182"/>
      <c r="I107" s="191"/>
      <c r="J107" s="182" t="s">
        <v>412</v>
      </c>
      <c r="K107" s="182"/>
      <c r="L107" s="182"/>
      <c r="M107" s="182"/>
      <c r="N107" s="182"/>
      <c r="O107" s="182"/>
      <c r="P107" s="182"/>
      <c r="Q107" s="182"/>
    </row>
    <row r="108" spans="1:17" ht="26.25" thickBot="1" x14ac:dyDescent="0.6">
      <c r="A108" s="182"/>
      <c r="B108" s="182"/>
      <c r="C108" s="182"/>
      <c r="D108" s="182"/>
      <c r="E108" s="182"/>
      <c r="F108" s="182"/>
      <c r="G108" s="182"/>
      <c r="H108" s="182"/>
      <c r="I108" s="192"/>
      <c r="J108" s="182" t="s">
        <v>413</v>
      </c>
      <c r="K108" s="182"/>
      <c r="L108" s="182"/>
      <c r="M108" s="182"/>
      <c r="N108" s="182"/>
      <c r="O108" s="182"/>
      <c r="P108" s="182"/>
      <c r="Q108" s="182"/>
    </row>
    <row r="109" spans="1:17" ht="21.75" thickBot="1" x14ac:dyDescent="0.6"/>
    <row r="110" spans="1:17" ht="31.5" x14ac:dyDescent="0.55000000000000004">
      <c r="A110" s="189" t="s">
        <v>419</v>
      </c>
      <c r="B110" s="189"/>
      <c r="C110" s="189"/>
      <c r="D110" s="189"/>
      <c r="E110" s="189"/>
      <c r="F110" s="189"/>
      <c r="G110" s="189"/>
      <c r="H110" s="189"/>
      <c r="I110" s="190"/>
      <c r="J110" s="189" t="s">
        <v>419</v>
      </c>
      <c r="K110" s="189"/>
      <c r="L110" s="189"/>
      <c r="M110" s="189"/>
      <c r="N110" s="189"/>
      <c r="O110" s="189"/>
      <c r="P110" s="189"/>
      <c r="Q110" s="189"/>
    </row>
    <row r="111" spans="1:17" ht="41.25" x14ac:dyDescent="0.55000000000000004">
      <c r="A111" s="193" t="s">
        <v>211</v>
      </c>
      <c r="B111" s="193"/>
      <c r="C111" s="193"/>
      <c r="D111" s="193"/>
      <c r="E111" s="193"/>
      <c r="F111" s="193"/>
      <c r="G111" s="193"/>
      <c r="H111" s="193"/>
      <c r="I111" s="191"/>
      <c r="J111" s="193" t="s">
        <v>377</v>
      </c>
      <c r="K111" s="193"/>
      <c r="L111" s="193"/>
      <c r="M111" s="193"/>
      <c r="N111" s="193"/>
      <c r="O111" s="193"/>
      <c r="P111" s="193"/>
      <c r="Q111" s="193"/>
    </row>
    <row r="112" spans="1:17" ht="25.5" x14ac:dyDescent="0.55000000000000004">
      <c r="A112" s="194" t="s">
        <v>290</v>
      </c>
      <c r="B112" s="194"/>
      <c r="C112" s="194"/>
      <c r="D112" s="194"/>
      <c r="E112" s="194" t="s">
        <v>291</v>
      </c>
      <c r="F112" s="194"/>
      <c r="G112" s="194"/>
      <c r="H112" s="194"/>
      <c r="I112" s="191"/>
      <c r="J112" s="194" t="s">
        <v>290</v>
      </c>
      <c r="K112" s="194"/>
      <c r="L112" s="194"/>
      <c r="M112" s="194"/>
      <c r="N112" s="194" t="s">
        <v>291</v>
      </c>
      <c r="O112" s="194"/>
      <c r="P112" s="194"/>
      <c r="Q112" s="194"/>
    </row>
    <row r="113" spans="1:17" ht="25.5" x14ac:dyDescent="0.55000000000000004">
      <c r="A113" s="183" t="s">
        <v>292</v>
      </c>
      <c r="B113" s="183"/>
      <c r="C113" s="183"/>
      <c r="D113" s="183"/>
      <c r="E113" s="183" t="s">
        <v>292</v>
      </c>
      <c r="F113" s="183"/>
      <c r="G113" s="183"/>
      <c r="H113" s="183"/>
      <c r="I113" s="191"/>
      <c r="J113" s="183" t="s">
        <v>292</v>
      </c>
      <c r="K113" s="183"/>
      <c r="L113" s="183"/>
      <c r="M113" s="183"/>
      <c r="N113" s="183" t="s">
        <v>292</v>
      </c>
      <c r="O113" s="183"/>
      <c r="P113" s="183"/>
      <c r="Q113" s="183"/>
    </row>
    <row r="114" spans="1:17" ht="25.5" x14ac:dyDescent="0.55000000000000004">
      <c r="A114" s="195" t="s">
        <v>328</v>
      </c>
      <c r="B114" s="195"/>
      <c r="C114" s="195"/>
      <c r="D114" s="195"/>
      <c r="E114" s="184" t="s">
        <v>391</v>
      </c>
      <c r="F114" s="185"/>
      <c r="G114" s="185"/>
      <c r="H114" s="186"/>
      <c r="I114" s="191"/>
      <c r="J114" s="182" t="s">
        <v>346</v>
      </c>
      <c r="K114" s="182"/>
      <c r="L114" s="182"/>
      <c r="M114" s="182"/>
      <c r="N114" s="182" t="s">
        <v>345</v>
      </c>
      <c r="O114" s="182"/>
      <c r="P114" s="182"/>
      <c r="Q114" s="182"/>
    </row>
    <row r="115" spans="1:17" ht="25.5" x14ac:dyDescent="0.55000000000000004">
      <c r="A115" s="182"/>
      <c r="B115" s="182"/>
      <c r="C115" s="182"/>
      <c r="D115" s="182"/>
      <c r="E115" s="182"/>
      <c r="F115" s="182"/>
      <c r="G115" s="182"/>
      <c r="H115" s="182"/>
      <c r="I115" s="191"/>
      <c r="J115" s="182" t="s">
        <v>414</v>
      </c>
      <c r="K115" s="182"/>
      <c r="L115" s="182"/>
      <c r="M115" s="182"/>
      <c r="N115" s="182" t="s">
        <v>407</v>
      </c>
      <c r="O115" s="182"/>
      <c r="P115" s="182"/>
      <c r="Q115" s="182"/>
    </row>
    <row r="116" spans="1:17" ht="25.5" x14ac:dyDescent="0.55000000000000004">
      <c r="A116" s="182"/>
      <c r="B116" s="182"/>
      <c r="C116" s="182"/>
      <c r="D116" s="182"/>
      <c r="E116" s="182"/>
      <c r="F116" s="182"/>
      <c r="G116" s="182"/>
      <c r="H116" s="182"/>
      <c r="I116" s="191"/>
      <c r="J116" s="182"/>
      <c r="K116" s="182"/>
      <c r="L116" s="182"/>
      <c r="M116" s="182"/>
      <c r="N116" s="182"/>
      <c r="O116" s="182"/>
      <c r="P116" s="182"/>
      <c r="Q116" s="182"/>
    </row>
    <row r="117" spans="1:17" ht="25.5" x14ac:dyDescent="0.55000000000000004">
      <c r="A117" s="182"/>
      <c r="B117" s="182"/>
      <c r="C117" s="182"/>
      <c r="D117" s="182"/>
      <c r="E117" s="182"/>
      <c r="F117" s="182"/>
      <c r="G117" s="182"/>
      <c r="H117" s="182"/>
      <c r="I117" s="191"/>
      <c r="J117" s="184"/>
      <c r="K117" s="185"/>
      <c r="L117" s="185"/>
      <c r="M117" s="186"/>
      <c r="N117" s="182"/>
      <c r="O117" s="182"/>
      <c r="P117" s="182"/>
      <c r="Q117" s="182"/>
    </row>
    <row r="118" spans="1:17" ht="25.5" x14ac:dyDescent="0.55000000000000004">
      <c r="A118" s="183" t="s">
        <v>293</v>
      </c>
      <c r="B118" s="183"/>
      <c r="C118" s="183"/>
      <c r="D118" s="183"/>
      <c r="E118" s="183" t="s">
        <v>293</v>
      </c>
      <c r="F118" s="183"/>
      <c r="G118" s="183"/>
      <c r="H118" s="183"/>
      <c r="I118" s="191"/>
      <c r="J118" s="183" t="s">
        <v>293</v>
      </c>
      <c r="K118" s="183"/>
      <c r="L118" s="183"/>
      <c r="M118" s="183"/>
      <c r="N118" s="183" t="s">
        <v>293</v>
      </c>
      <c r="O118" s="183"/>
      <c r="P118" s="183"/>
      <c r="Q118" s="183"/>
    </row>
    <row r="119" spans="1:17" ht="25.5" x14ac:dyDescent="0.55000000000000004">
      <c r="A119" s="182" t="s">
        <v>334</v>
      </c>
      <c r="B119" s="182"/>
      <c r="C119" s="182"/>
      <c r="D119" s="182"/>
      <c r="E119" s="182" t="s">
        <v>427</v>
      </c>
      <c r="F119" s="182"/>
      <c r="G119" s="182"/>
      <c r="H119" s="182"/>
      <c r="I119" s="191"/>
      <c r="J119" s="182" t="s">
        <v>361</v>
      </c>
      <c r="K119" s="182"/>
      <c r="L119" s="182"/>
      <c r="M119" s="182"/>
      <c r="N119" s="182" t="s">
        <v>408</v>
      </c>
      <c r="O119" s="182"/>
      <c r="P119" s="182"/>
      <c r="Q119" s="182"/>
    </row>
    <row r="120" spans="1:17" ht="25.5" x14ac:dyDescent="0.55000000000000004">
      <c r="A120" s="182" t="s">
        <v>425</v>
      </c>
      <c r="B120" s="182"/>
      <c r="C120" s="182"/>
      <c r="D120" s="182"/>
      <c r="E120" s="182"/>
      <c r="F120" s="182"/>
      <c r="G120" s="182"/>
      <c r="H120" s="182"/>
      <c r="I120" s="191"/>
      <c r="J120" s="182"/>
      <c r="K120" s="182"/>
      <c r="L120" s="182"/>
      <c r="M120" s="182"/>
      <c r="N120" s="182" t="s">
        <v>420</v>
      </c>
      <c r="O120" s="182"/>
      <c r="P120" s="182"/>
      <c r="Q120" s="182"/>
    </row>
    <row r="121" spans="1:17" ht="25.5" x14ac:dyDescent="0.55000000000000004">
      <c r="A121" s="182" t="s">
        <v>387</v>
      </c>
      <c r="B121" s="182"/>
      <c r="C121" s="182"/>
      <c r="D121" s="182"/>
      <c r="E121" s="182"/>
      <c r="F121" s="182"/>
      <c r="G121" s="182"/>
      <c r="H121" s="182"/>
      <c r="I121" s="191"/>
      <c r="J121" s="188"/>
      <c r="K121" s="188"/>
      <c r="L121" s="188"/>
      <c r="M121" s="188"/>
      <c r="N121" s="182"/>
      <c r="O121" s="182"/>
      <c r="P121" s="182"/>
      <c r="Q121" s="182"/>
    </row>
    <row r="122" spans="1:17" ht="25.5" x14ac:dyDescent="0.55000000000000004">
      <c r="A122" s="182"/>
      <c r="B122" s="182"/>
      <c r="C122" s="182"/>
      <c r="D122" s="182"/>
      <c r="E122" s="182"/>
      <c r="F122" s="182"/>
      <c r="G122" s="182"/>
      <c r="H122" s="182"/>
      <c r="I122" s="191"/>
      <c r="J122" s="182"/>
      <c r="K122" s="182"/>
      <c r="L122" s="182"/>
      <c r="M122" s="182"/>
      <c r="N122" s="182"/>
      <c r="O122" s="182"/>
      <c r="P122" s="182"/>
      <c r="Q122" s="182"/>
    </row>
    <row r="123" spans="1:17" ht="25.5" x14ac:dyDescent="0.55000000000000004">
      <c r="A123" s="183" t="s">
        <v>294</v>
      </c>
      <c r="B123" s="183"/>
      <c r="C123" s="183"/>
      <c r="D123" s="183"/>
      <c r="E123" s="183" t="s">
        <v>294</v>
      </c>
      <c r="F123" s="183"/>
      <c r="G123" s="183"/>
      <c r="H123" s="183"/>
      <c r="I123" s="191"/>
      <c r="J123" s="183" t="s">
        <v>294</v>
      </c>
      <c r="K123" s="183"/>
      <c r="L123" s="183"/>
      <c r="M123" s="183"/>
      <c r="N123" s="183" t="s">
        <v>294</v>
      </c>
      <c r="O123" s="183"/>
      <c r="P123" s="183"/>
      <c r="Q123" s="183"/>
    </row>
    <row r="124" spans="1:17" ht="25.5" x14ac:dyDescent="0.55000000000000004">
      <c r="A124" s="182" t="s">
        <v>395</v>
      </c>
      <c r="B124" s="182"/>
      <c r="C124" s="182"/>
      <c r="D124" s="182"/>
      <c r="E124" s="182" t="s">
        <v>337</v>
      </c>
      <c r="F124" s="182"/>
      <c r="G124" s="182"/>
      <c r="H124" s="182"/>
      <c r="I124" s="191"/>
      <c r="J124" s="184" t="s">
        <v>370</v>
      </c>
      <c r="K124" s="185"/>
      <c r="L124" s="185"/>
      <c r="M124" s="186"/>
      <c r="N124" s="182" t="s">
        <v>418</v>
      </c>
      <c r="O124" s="182"/>
      <c r="P124" s="182"/>
      <c r="Q124" s="182"/>
    </row>
    <row r="125" spans="1:17" ht="25.5" x14ac:dyDescent="0.55000000000000004">
      <c r="A125" s="182" t="s">
        <v>340</v>
      </c>
      <c r="B125" s="182"/>
      <c r="C125" s="182"/>
      <c r="D125" s="182"/>
      <c r="E125" s="182" t="s">
        <v>428</v>
      </c>
      <c r="F125" s="182"/>
      <c r="G125" s="182"/>
      <c r="H125" s="182"/>
      <c r="I125" s="191"/>
      <c r="J125" s="184" t="s">
        <v>369</v>
      </c>
      <c r="K125" s="185"/>
      <c r="L125" s="185"/>
      <c r="M125" s="186"/>
      <c r="N125" s="182" t="s">
        <v>393</v>
      </c>
      <c r="O125" s="182"/>
      <c r="P125" s="182"/>
      <c r="Q125" s="182"/>
    </row>
    <row r="126" spans="1:17" ht="25.5" x14ac:dyDescent="0.55000000000000004">
      <c r="A126" s="182" t="s">
        <v>405</v>
      </c>
      <c r="B126" s="182"/>
      <c r="C126" s="182"/>
      <c r="D126" s="182"/>
      <c r="E126" s="182" t="s">
        <v>429</v>
      </c>
      <c r="F126" s="182"/>
      <c r="G126" s="182"/>
      <c r="H126" s="182"/>
      <c r="I126" s="191"/>
      <c r="J126" s="182" t="s">
        <v>365</v>
      </c>
      <c r="K126" s="182"/>
      <c r="L126" s="182"/>
      <c r="M126" s="182"/>
      <c r="N126" s="184" t="s">
        <v>424</v>
      </c>
      <c r="O126" s="185"/>
      <c r="P126" s="185"/>
      <c r="Q126" s="186"/>
    </row>
    <row r="127" spans="1:17" ht="25.5" x14ac:dyDescent="0.55000000000000004">
      <c r="A127" s="182" t="s">
        <v>394</v>
      </c>
      <c r="B127" s="182"/>
      <c r="C127" s="182"/>
      <c r="D127" s="182"/>
      <c r="E127" s="182" t="s">
        <v>430</v>
      </c>
      <c r="F127" s="182"/>
      <c r="G127" s="182"/>
      <c r="H127" s="182"/>
      <c r="I127" s="191"/>
      <c r="J127" s="184" t="s">
        <v>415</v>
      </c>
      <c r="K127" s="185"/>
      <c r="L127" s="185"/>
      <c r="M127" s="186"/>
      <c r="N127" s="182" t="s">
        <v>371</v>
      </c>
      <c r="O127" s="182"/>
      <c r="P127" s="182"/>
      <c r="Q127" s="182"/>
    </row>
    <row r="128" spans="1:17" ht="25.5" x14ac:dyDescent="0.55000000000000004">
      <c r="A128" s="182" t="s">
        <v>426</v>
      </c>
      <c r="B128" s="182"/>
      <c r="C128" s="182"/>
      <c r="D128" s="182"/>
      <c r="E128" s="182" t="s">
        <v>396</v>
      </c>
      <c r="F128" s="182"/>
      <c r="G128" s="182"/>
      <c r="H128" s="182"/>
      <c r="I128" s="191"/>
      <c r="J128" s="182" t="s">
        <v>389</v>
      </c>
      <c r="K128" s="182"/>
      <c r="L128" s="182"/>
      <c r="M128" s="182"/>
      <c r="N128" s="184" t="s">
        <v>433</v>
      </c>
      <c r="O128" s="185"/>
      <c r="P128" s="185"/>
      <c r="Q128" s="186"/>
    </row>
    <row r="129" spans="1:17" ht="25.5" x14ac:dyDescent="0.55000000000000004">
      <c r="A129" s="182" t="s">
        <v>400</v>
      </c>
      <c r="B129" s="182"/>
      <c r="C129" s="182"/>
      <c r="D129" s="182"/>
      <c r="E129" s="182" t="s">
        <v>339</v>
      </c>
      <c r="F129" s="182"/>
      <c r="G129" s="182"/>
      <c r="H129" s="182"/>
      <c r="I129" s="191"/>
      <c r="J129" s="184" t="s">
        <v>363</v>
      </c>
      <c r="K129" s="185"/>
      <c r="L129" s="185"/>
      <c r="M129" s="186"/>
      <c r="N129" s="182"/>
      <c r="O129" s="182"/>
      <c r="P129" s="182"/>
      <c r="Q129" s="182"/>
    </row>
    <row r="130" spans="1:17" ht="25.5" x14ac:dyDescent="0.55000000000000004">
      <c r="A130" s="187"/>
      <c r="B130" s="187"/>
      <c r="C130" s="187"/>
      <c r="D130" s="187"/>
      <c r="E130" s="182" t="s">
        <v>431</v>
      </c>
      <c r="F130" s="182"/>
      <c r="G130" s="182"/>
      <c r="H130" s="182"/>
      <c r="I130" s="191"/>
      <c r="J130" s="182"/>
      <c r="K130" s="182"/>
      <c r="L130" s="182"/>
      <c r="M130" s="182"/>
      <c r="N130" s="182"/>
      <c r="O130" s="182"/>
      <c r="P130" s="182"/>
      <c r="Q130" s="182"/>
    </row>
    <row r="131" spans="1:17" ht="25.5" x14ac:dyDescent="0.55000000000000004">
      <c r="A131" s="183" t="s">
        <v>295</v>
      </c>
      <c r="B131" s="183"/>
      <c r="C131" s="183"/>
      <c r="D131" s="183"/>
      <c r="E131" s="183" t="s">
        <v>295</v>
      </c>
      <c r="F131" s="183"/>
      <c r="G131" s="183"/>
      <c r="H131" s="183"/>
      <c r="I131" s="191"/>
      <c r="J131" s="183" t="s">
        <v>295</v>
      </c>
      <c r="K131" s="183"/>
      <c r="L131" s="183"/>
      <c r="M131" s="183"/>
      <c r="N131" s="183" t="s">
        <v>295</v>
      </c>
      <c r="O131" s="183"/>
      <c r="P131" s="183"/>
      <c r="Q131" s="183"/>
    </row>
    <row r="132" spans="1:17" ht="25.5" x14ac:dyDescent="0.55000000000000004">
      <c r="A132" s="182" t="s">
        <v>397</v>
      </c>
      <c r="B132" s="182"/>
      <c r="C132" s="182"/>
      <c r="D132" s="182"/>
      <c r="E132" s="182" t="s">
        <v>432</v>
      </c>
      <c r="F132" s="182"/>
      <c r="G132" s="182"/>
      <c r="H132" s="182"/>
      <c r="I132" s="191"/>
      <c r="J132" s="182" t="s">
        <v>421</v>
      </c>
      <c r="K132" s="182"/>
      <c r="L132" s="182"/>
      <c r="M132" s="182"/>
      <c r="N132" s="184" t="s">
        <v>423</v>
      </c>
      <c r="O132" s="185"/>
      <c r="P132" s="185"/>
      <c r="Q132" s="186"/>
    </row>
    <row r="133" spans="1:17" ht="25.5" x14ac:dyDescent="0.55000000000000004">
      <c r="A133" s="182"/>
      <c r="B133" s="182"/>
      <c r="C133" s="182"/>
      <c r="D133" s="182"/>
      <c r="E133" s="182"/>
      <c r="F133" s="182"/>
      <c r="G133" s="182"/>
      <c r="H133" s="182"/>
      <c r="I133" s="191"/>
      <c r="J133" s="182" t="s">
        <v>422</v>
      </c>
      <c r="K133" s="182"/>
      <c r="L133" s="182"/>
      <c r="M133" s="182"/>
      <c r="N133" s="182"/>
      <c r="O133" s="182"/>
      <c r="P133" s="182"/>
      <c r="Q133" s="182"/>
    </row>
    <row r="134" spans="1:17" ht="25.5" x14ac:dyDescent="0.55000000000000004">
      <c r="A134" s="182"/>
      <c r="B134" s="182"/>
      <c r="C134" s="182"/>
      <c r="D134" s="182"/>
      <c r="E134" s="182"/>
      <c r="F134" s="182"/>
      <c r="G134" s="182"/>
      <c r="H134" s="182"/>
      <c r="I134" s="191"/>
      <c r="J134" s="182"/>
      <c r="K134" s="182"/>
      <c r="L134" s="182"/>
      <c r="M134" s="182"/>
      <c r="N134" s="182"/>
      <c r="O134" s="182"/>
      <c r="P134" s="182"/>
      <c r="Q134" s="182"/>
    </row>
    <row r="135" spans="1:17" ht="26.25" thickBot="1" x14ac:dyDescent="0.6">
      <c r="A135" s="182"/>
      <c r="B135" s="182"/>
      <c r="C135" s="182"/>
      <c r="D135" s="182"/>
      <c r="E135" s="182"/>
      <c r="F135" s="182"/>
      <c r="G135" s="182"/>
      <c r="H135" s="182"/>
      <c r="I135" s="192"/>
      <c r="J135" s="182"/>
      <c r="K135" s="182"/>
      <c r="L135" s="182"/>
      <c r="M135" s="182"/>
      <c r="N135" s="182"/>
      <c r="O135" s="182"/>
      <c r="P135" s="182"/>
      <c r="Q135" s="182"/>
    </row>
    <row r="136" spans="1:17" ht="21.75" thickBot="1" x14ac:dyDescent="0.6"/>
    <row r="137" spans="1:17" ht="31.5" x14ac:dyDescent="0.55000000000000004">
      <c r="A137" s="189" t="s">
        <v>436</v>
      </c>
      <c r="B137" s="189"/>
      <c r="C137" s="189"/>
      <c r="D137" s="189"/>
      <c r="E137" s="189"/>
      <c r="F137" s="189"/>
      <c r="G137" s="189"/>
      <c r="H137" s="189"/>
      <c r="I137" s="190"/>
      <c r="J137" s="189" t="s">
        <v>436</v>
      </c>
      <c r="K137" s="189"/>
      <c r="L137" s="189"/>
      <c r="M137" s="189"/>
      <c r="N137" s="189"/>
      <c r="O137" s="189"/>
      <c r="P137" s="189"/>
      <c r="Q137" s="189"/>
    </row>
    <row r="138" spans="1:17" ht="41.25" x14ac:dyDescent="0.55000000000000004">
      <c r="A138" s="193" t="s">
        <v>211</v>
      </c>
      <c r="B138" s="193"/>
      <c r="C138" s="193"/>
      <c r="D138" s="193"/>
      <c r="E138" s="193"/>
      <c r="F138" s="193"/>
      <c r="G138" s="193"/>
      <c r="H138" s="193"/>
      <c r="I138" s="191"/>
      <c r="J138" s="193" t="s">
        <v>377</v>
      </c>
      <c r="K138" s="193"/>
      <c r="L138" s="193"/>
      <c r="M138" s="193"/>
      <c r="N138" s="193"/>
      <c r="O138" s="193"/>
      <c r="P138" s="193"/>
      <c r="Q138" s="193"/>
    </row>
    <row r="139" spans="1:17" ht="25.5" x14ac:dyDescent="0.55000000000000004">
      <c r="A139" s="194" t="s">
        <v>290</v>
      </c>
      <c r="B139" s="194"/>
      <c r="C139" s="194"/>
      <c r="D139" s="194"/>
      <c r="E139" s="194" t="s">
        <v>291</v>
      </c>
      <c r="F139" s="194"/>
      <c r="G139" s="194"/>
      <c r="H139" s="194"/>
      <c r="I139" s="191"/>
      <c r="J139" s="194" t="s">
        <v>290</v>
      </c>
      <c r="K139" s="194"/>
      <c r="L139" s="194"/>
      <c r="M139" s="194"/>
      <c r="N139" s="194" t="s">
        <v>291</v>
      </c>
      <c r="O139" s="194"/>
      <c r="P139" s="194"/>
      <c r="Q139" s="194"/>
    </row>
    <row r="140" spans="1:17" ht="25.5" x14ac:dyDescent="0.55000000000000004">
      <c r="A140" s="183" t="s">
        <v>292</v>
      </c>
      <c r="B140" s="183"/>
      <c r="C140" s="183"/>
      <c r="D140" s="183"/>
      <c r="E140" s="183" t="s">
        <v>292</v>
      </c>
      <c r="F140" s="183"/>
      <c r="G140" s="183"/>
      <c r="H140" s="183"/>
      <c r="I140" s="191"/>
      <c r="J140" s="183" t="s">
        <v>292</v>
      </c>
      <c r="K140" s="183"/>
      <c r="L140" s="183"/>
      <c r="M140" s="183"/>
      <c r="N140" s="183" t="s">
        <v>292</v>
      </c>
      <c r="O140" s="183"/>
      <c r="P140" s="183"/>
      <c r="Q140" s="183"/>
    </row>
    <row r="141" spans="1:17" ht="25.5" x14ac:dyDescent="0.55000000000000004">
      <c r="A141" s="195" t="s">
        <v>345</v>
      </c>
      <c r="B141" s="195"/>
      <c r="C141" s="195"/>
      <c r="D141" s="195"/>
      <c r="E141" s="184" t="s">
        <v>440</v>
      </c>
      <c r="F141" s="185"/>
      <c r="G141" s="185"/>
      <c r="H141" s="186"/>
      <c r="I141" s="191"/>
      <c r="J141" s="182" t="s">
        <v>346</v>
      </c>
      <c r="K141" s="182"/>
      <c r="L141" s="182"/>
      <c r="M141" s="182"/>
      <c r="N141" s="182" t="s">
        <v>328</v>
      </c>
      <c r="O141" s="182"/>
      <c r="P141" s="182"/>
      <c r="Q141" s="182"/>
    </row>
    <row r="142" spans="1:17" ht="25.5" x14ac:dyDescent="0.55000000000000004">
      <c r="A142" s="182"/>
      <c r="B142" s="182"/>
      <c r="C142" s="182"/>
      <c r="D142" s="182"/>
      <c r="E142" s="182"/>
      <c r="F142" s="182"/>
      <c r="G142" s="182"/>
      <c r="H142" s="182"/>
      <c r="I142" s="191"/>
      <c r="J142" s="182" t="s">
        <v>391</v>
      </c>
      <c r="K142" s="182"/>
      <c r="L142" s="182"/>
      <c r="M142" s="182"/>
      <c r="N142" s="182"/>
      <c r="O142" s="182"/>
      <c r="P142" s="182"/>
      <c r="Q142" s="182"/>
    </row>
    <row r="143" spans="1:17" ht="25.5" x14ac:dyDescent="0.55000000000000004">
      <c r="A143" s="182"/>
      <c r="B143" s="182"/>
      <c r="C143" s="182"/>
      <c r="D143" s="182"/>
      <c r="E143" s="182"/>
      <c r="F143" s="182"/>
      <c r="G143" s="182"/>
      <c r="H143" s="182"/>
      <c r="I143" s="191"/>
      <c r="J143" s="182"/>
      <c r="K143" s="182"/>
      <c r="L143" s="182"/>
      <c r="M143" s="182"/>
      <c r="N143" s="182"/>
      <c r="O143" s="182"/>
      <c r="P143" s="182"/>
      <c r="Q143" s="182"/>
    </row>
    <row r="144" spans="1:17" ht="25.5" x14ac:dyDescent="0.55000000000000004">
      <c r="A144" s="182"/>
      <c r="B144" s="182"/>
      <c r="C144" s="182"/>
      <c r="D144" s="182"/>
      <c r="E144" s="182"/>
      <c r="F144" s="182"/>
      <c r="G144" s="182"/>
      <c r="H144" s="182"/>
      <c r="I144" s="191"/>
      <c r="J144" s="184"/>
      <c r="K144" s="185"/>
      <c r="L144" s="185"/>
      <c r="M144" s="186"/>
      <c r="N144" s="182"/>
      <c r="O144" s="182"/>
      <c r="P144" s="182"/>
      <c r="Q144" s="182"/>
    </row>
    <row r="145" spans="1:17" ht="25.5" x14ac:dyDescent="0.55000000000000004">
      <c r="A145" s="183" t="s">
        <v>293</v>
      </c>
      <c r="B145" s="183"/>
      <c r="C145" s="183"/>
      <c r="D145" s="183"/>
      <c r="E145" s="183" t="s">
        <v>293</v>
      </c>
      <c r="F145" s="183"/>
      <c r="G145" s="183"/>
      <c r="H145" s="183"/>
      <c r="I145" s="191"/>
      <c r="J145" s="183" t="s">
        <v>293</v>
      </c>
      <c r="K145" s="183"/>
      <c r="L145" s="183"/>
      <c r="M145" s="183"/>
      <c r="N145" s="183" t="s">
        <v>293</v>
      </c>
      <c r="O145" s="183"/>
      <c r="P145" s="183"/>
      <c r="Q145" s="183"/>
    </row>
    <row r="146" spans="1:17" ht="25.5" x14ac:dyDescent="0.55000000000000004">
      <c r="A146" s="182" t="s">
        <v>437</v>
      </c>
      <c r="B146" s="182"/>
      <c r="C146" s="182"/>
      <c r="D146" s="182"/>
      <c r="E146" s="182" t="s">
        <v>334</v>
      </c>
      <c r="F146" s="182"/>
      <c r="G146" s="182"/>
      <c r="H146" s="182"/>
      <c r="I146" s="191"/>
      <c r="J146" s="182" t="s">
        <v>441</v>
      </c>
      <c r="K146" s="182"/>
      <c r="L146" s="182"/>
      <c r="M146" s="182"/>
      <c r="N146" s="182" t="s">
        <v>361</v>
      </c>
      <c r="O146" s="182"/>
      <c r="P146" s="182"/>
      <c r="Q146" s="182"/>
    </row>
    <row r="147" spans="1:17" ht="25.5" x14ac:dyDescent="0.55000000000000004">
      <c r="A147" s="182" t="s">
        <v>420</v>
      </c>
      <c r="B147" s="182"/>
      <c r="C147" s="182"/>
      <c r="D147" s="182"/>
      <c r="E147" s="182"/>
      <c r="F147" s="182"/>
      <c r="G147" s="182"/>
      <c r="H147" s="182"/>
      <c r="I147" s="191"/>
      <c r="J147" s="182" t="s">
        <v>442</v>
      </c>
      <c r="K147" s="182"/>
      <c r="L147" s="182"/>
      <c r="M147" s="182"/>
      <c r="N147" s="182"/>
      <c r="O147" s="182"/>
      <c r="P147" s="182"/>
      <c r="Q147" s="182"/>
    </row>
    <row r="148" spans="1:17" ht="25.5" x14ac:dyDescent="0.55000000000000004">
      <c r="A148" s="182"/>
      <c r="B148" s="182"/>
      <c r="C148" s="182"/>
      <c r="D148" s="182"/>
      <c r="E148" s="182"/>
      <c r="F148" s="182"/>
      <c r="G148" s="182"/>
      <c r="H148" s="182"/>
      <c r="I148" s="191"/>
      <c r="J148" s="188"/>
      <c r="K148" s="188"/>
      <c r="L148" s="188"/>
      <c r="M148" s="188"/>
      <c r="N148" s="182"/>
      <c r="O148" s="182"/>
      <c r="P148" s="182"/>
      <c r="Q148" s="182"/>
    </row>
    <row r="149" spans="1:17" ht="25.5" x14ac:dyDescent="0.55000000000000004">
      <c r="A149" s="182"/>
      <c r="B149" s="182"/>
      <c r="C149" s="182"/>
      <c r="D149" s="182"/>
      <c r="E149" s="182"/>
      <c r="F149" s="182"/>
      <c r="G149" s="182"/>
      <c r="H149" s="182"/>
      <c r="I149" s="191"/>
      <c r="J149" s="182"/>
      <c r="K149" s="182"/>
      <c r="L149" s="182"/>
      <c r="M149" s="182"/>
      <c r="N149" s="182"/>
      <c r="O149" s="182"/>
      <c r="P149" s="182"/>
      <c r="Q149" s="182"/>
    </row>
    <row r="150" spans="1:17" ht="25.5" x14ac:dyDescent="0.55000000000000004">
      <c r="A150" s="183" t="s">
        <v>294</v>
      </c>
      <c r="B150" s="183"/>
      <c r="C150" s="183"/>
      <c r="D150" s="183"/>
      <c r="E150" s="183" t="s">
        <v>294</v>
      </c>
      <c r="F150" s="183"/>
      <c r="G150" s="183"/>
      <c r="H150" s="183"/>
      <c r="I150" s="191"/>
      <c r="J150" s="183" t="s">
        <v>294</v>
      </c>
      <c r="K150" s="183"/>
      <c r="L150" s="183"/>
      <c r="M150" s="183"/>
      <c r="N150" s="183" t="s">
        <v>294</v>
      </c>
      <c r="O150" s="183"/>
      <c r="P150" s="183"/>
      <c r="Q150" s="183"/>
    </row>
    <row r="151" spans="1:17" ht="25.5" x14ac:dyDescent="0.55000000000000004">
      <c r="A151" s="182" t="s">
        <v>337</v>
      </c>
      <c r="B151" s="182"/>
      <c r="C151" s="182"/>
      <c r="D151" s="182"/>
      <c r="E151" s="182" t="s">
        <v>340</v>
      </c>
      <c r="F151" s="182"/>
      <c r="G151" s="182"/>
      <c r="H151" s="182"/>
      <c r="I151" s="191"/>
      <c r="J151" s="184" t="s">
        <v>443</v>
      </c>
      <c r="K151" s="185"/>
      <c r="L151" s="185"/>
      <c r="M151" s="186"/>
      <c r="N151" s="182" t="s">
        <v>370</v>
      </c>
      <c r="O151" s="182"/>
      <c r="P151" s="182"/>
      <c r="Q151" s="182"/>
    </row>
    <row r="152" spans="1:17" ht="25.5" x14ac:dyDescent="0.55000000000000004">
      <c r="A152" s="182" t="s">
        <v>438</v>
      </c>
      <c r="B152" s="182"/>
      <c r="C152" s="182"/>
      <c r="D152" s="182"/>
      <c r="E152" s="182" t="s">
        <v>400</v>
      </c>
      <c r="F152" s="182"/>
      <c r="G152" s="182"/>
      <c r="H152" s="182"/>
      <c r="I152" s="191"/>
      <c r="J152" s="184" t="s">
        <v>389</v>
      </c>
      <c r="K152" s="185"/>
      <c r="L152" s="185"/>
      <c r="M152" s="186"/>
      <c r="N152" s="182" t="s">
        <v>369</v>
      </c>
      <c r="O152" s="182"/>
      <c r="P152" s="182"/>
      <c r="Q152" s="182"/>
    </row>
    <row r="153" spans="1:17" ht="25.5" x14ac:dyDescent="0.55000000000000004">
      <c r="A153" s="182" t="s">
        <v>396</v>
      </c>
      <c r="B153" s="182"/>
      <c r="C153" s="182"/>
      <c r="D153" s="182"/>
      <c r="E153" s="182" t="s">
        <v>405</v>
      </c>
      <c r="F153" s="182"/>
      <c r="G153" s="182"/>
      <c r="H153" s="182"/>
      <c r="I153" s="191"/>
      <c r="J153" s="182" t="s">
        <v>365</v>
      </c>
      <c r="K153" s="182"/>
      <c r="L153" s="182"/>
      <c r="M153" s="182"/>
      <c r="N153" s="184" t="s">
        <v>351</v>
      </c>
      <c r="O153" s="185"/>
      <c r="P153" s="185"/>
      <c r="Q153" s="186"/>
    </row>
    <row r="154" spans="1:17" ht="25.5" x14ac:dyDescent="0.55000000000000004">
      <c r="A154" s="182" t="s">
        <v>426</v>
      </c>
      <c r="B154" s="182"/>
      <c r="C154" s="182"/>
      <c r="D154" s="182"/>
      <c r="E154" s="182" t="s">
        <v>394</v>
      </c>
      <c r="F154" s="182"/>
      <c r="G154" s="182"/>
      <c r="H154" s="182"/>
      <c r="I154" s="191"/>
      <c r="J154" s="184" t="s">
        <v>433</v>
      </c>
      <c r="K154" s="185"/>
      <c r="L154" s="185"/>
      <c r="M154" s="186"/>
      <c r="N154" s="182" t="s">
        <v>424</v>
      </c>
      <c r="O154" s="182"/>
      <c r="P154" s="182"/>
      <c r="Q154" s="182"/>
    </row>
    <row r="155" spans="1:17" ht="25.5" x14ac:dyDescent="0.55000000000000004">
      <c r="A155" s="182" t="s">
        <v>439</v>
      </c>
      <c r="B155" s="182"/>
      <c r="C155" s="182"/>
      <c r="D155" s="182"/>
      <c r="E155" s="182" t="s">
        <v>339</v>
      </c>
      <c r="F155" s="182"/>
      <c r="G155" s="182"/>
      <c r="H155" s="182"/>
      <c r="I155" s="191"/>
      <c r="J155" s="182" t="s">
        <v>393</v>
      </c>
      <c r="K155" s="182"/>
      <c r="L155" s="182"/>
      <c r="M155" s="182"/>
      <c r="N155" s="184" t="s">
        <v>446</v>
      </c>
      <c r="O155" s="185"/>
      <c r="P155" s="185"/>
      <c r="Q155" s="186"/>
    </row>
    <row r="156" spans="1:17" ht="25.5" x14ac:dyDescent="0.55000000000000004">
      <c r="A156" s="182" t="s">
        <v>429</v>
      </c>
      <c r="B156" s="182"/>
      <c r="C156" s="182"/>
      <c r="D156" s="182"/>
      <c r="E156" s="182" t="s">
        <v>384</v>
      </c>
      <c r="F156" s="182"/>
      <c r="G156" s="182"/>
      <c r="H156" s="182"/>
      <c r="I156" s="191"/>
      <c r="J156" s="184" t="s">
        <v>430</v>
      </c>
      <c r="K156" s="185"/>
      <c r="L156" s="185"/>
      <c r="M156" s="186"/>
      <c r="N156" s="182" t="s">
        <v>447</v>
      </c>
      <c r="O156" s="182"/>
      <c r="P156" s="182"/>
      <c r="Q156" s="182"/>
    </row>
    <row r="157" spans="1:17" ht="25.5" x14ac:dyDescent="0.55000000000000004">
      <c r="A157" s="187"/>
      <c r="B157" s="187"/>
      <c r="C157" s="187"/>
      <c r="D157" s="187"/>
      <c r="E157" s="182"/>
      <c r="F157" s="182"/>
      <c r="G157" s="182"/>
      <c r="H157" s="182"/>
      <c r="I157" s="191"/>
      <c r="J157" s="182"/>
      <c r="K157" s="182"/>
      <c r="L157" s="182"/>
      <c r="M157" s="182"/>
      <c r="N157" s="182" t="s">
        <v>448</v>
      </c>
      <c r="O157" s="182"/>
      <c r="P157" s="182"/>
      <c r="Q157" s="182"/>
    </row>
    <row r="158" spans="1:17" ht="25.5" x14ac:dyDescent="0.55000000000000004">
      <c r="A158" s="183" t="s">
        <v>295</v>
      </c>
      <c r="B158" s="183"/>
      <c r="C158" s="183"/>
      <c r="D158" s="183"/>
      <c r="E158" s="183" t="s">
        <v>295</v>
      </c>
      <c r="F158" s="183"/>
      <c r="G158" s="183"/>
      <c r="H158" s="183"/>
      <c r="I158" s="191"/>
      <c r="J158" s="183" t="s">
        <v>295</v>
      </c>
      <c r="K158" s="183"/>
      <c r="L158" s="183"/>
      <c r="M158" s="183"/>
      <c r="N158" s="183" t="s">
        <v>295</v>
      </c>
      <c r="O158" s="183"/>
      <c r="P158" s="183"/>
      <c r="Q158" s="183"/>
    </row>
    <row r="159" spans="1:17" ht="25.5" x14ac:dyDescent="0.55000000000000004">
      <c r="A159" s="182" t="s">
        <v>397</v>
      </c>
      <c r="B159" s="182"/>
      <c r="C159" s="182"/>
      <c r="D159" s="182"/>
      <c r="E159" s="182" t="s">
        <v>422</v>
      </c>
      <c r="F159" s="182"/>
      <c r="G159" s="182"/>
      <c r="H159" s="182"/>
      <c r="I159" s="191"/>
      <c r="J159" s="182" t="s">
        <v>444</v>
      </c>
      <c r="K159" s="182"/>
      <c r="L159" s="182"/>
      <c r="M159" s="182"/>
      <c r="N159" s="184" t="s">
        <v>402</v>
      </c>
      <c r="O159" s="185"/>
      <c r="P159" s="185"/>
      <c r="Q159" s="186"/>
    </row>
    <row r="160" spans="1:17" ht="25.5" x14ac:dyDescent="0.55000000000000004">
      <c r="A160" s="182"/>
      <c r="B160" s="182"/>
      <c r="C160" s="182"/>
      <c r="D160" s="182"/>
      <c r="E160" s="182"/>
      <c r="F160" s="182"/>
      <c r="G160" s="182"/>
      <c r="H160" s="182"/>
      <c r="I160" s="191"/>
      <c r="J160" s="182" t="s">
        <v>445</v>
      </c>
      <c r="K160" s="182"/>
      <c r="L160" s="182"/>
      <c r="M160" s="182"/>
      <c r="N160" s="182"/>
      <c r="O160" s="182"/>
      <c r="P160" s="182"/>
      <c r="Q160" s="182"/>
    </row>
    <row r="161" spans="1:17" ht="25.5" x14ac:dyDescent="0.55000000000000004">
      <c r="A161" s="182"/>
      <c r="B161" s="182"/>
      <c r="C161" s="182"/>
      <c r="D161" s="182"/>
      <c r="E161" s="182"/>
      <c r="F161" s="182"/>
      <c r="G161" s="182"/>
      <c r="H161" s="182"/>
      <c r="I161" s="191"/>
      <c r="J161" s="182"/>
      <c r="K161" s="182"/>
      <c r="L161" s="182"/>
      <c r="M161" s="182"/>
      <c r="N161" s="182"/>
      <c r="O161" s="182"/>
      <c r="P161" s="182"/>
      <c r="Q161" s="182"/>
    </row>
    <row r="162" spans="1:17" ht="26.25" thickBot="1" x14ac:dyDescent="0.6">
      <c r="A162" s="182"/>
      <c r="B162" s="182"/>
      <c r="C162" s="182"/>
      <c r="D162" s="182"/>
      <c r="E162" s="182"/>
      <c r="F162" s="182"/>
      <c r="G162" s="182"/>
      <c r="H162" s="182"/>
      <c r="I162" s="192"/>
      <c r="J162" s="182"/>
      <c r="K162" s="182"/>
      <c r="L162" s="182"/>
      <c r="M162" s="182"/>
      <c r="N162" s="182"/>
      <c r="O162" s="182"/>
      <c r="P162" s="182"/>
      <c r="Q162" s="182"/>
    </row>
    <row r="163" spans="1:17" ht="21.75" thickBot="1" x14ac:dyDescent="0.6"/>
    <row r="164" spans="1:17" ht="31.5" x14ac:dyDescent="0.55000000000000004">
      <c r="A164" s="189" t="s">
        <v>449</v>
      </c>
      <c r="B164" s="189"/>
      <c r="C164" s="189"/>
      <c r="D164" s="189"/>
      <c r="E164" s="189"/>
      <c r="F164" s="189"/>
      <c r="G164" s="189"/>
      <c r="H164" s="189"/>
      <c r="I164" s="190"/>
      <c r="J164" s="189" t="s">
        <v>449</v>
      </c>
      <c r="K164" s="189"/>
      <c r="L164" s="189"/>
      <c r="M164" s="189"/>
      <c r="N164" s="189"/>
      <c r="O164" s="189"/>
      <c r="P164" s="189"/>
      <c r="Q164" s="189"/>
    </row>
    <row r="165" spans="1:17" ht="41.25" x14ac:dyDescent="0.55000000000000004">
      <c r="A165" s="193" t="s">
        <v>211</v>
      </c>
      <c r="B165" s="193"/>
      <c r="C165" s="193"/>
      <c r="D165" s="193"/>
      <c r="E165" s="193"/>
      <c r="F165" s="193"/>
      <c r="G165" s="193"/>
      <c r="H165" s="193"/>
      <c r="I165" s="191"/>
      <c r="J165" s="193" t="s">
        <v>377</v>
      </c>
      <c r="K165" s="193"/>
      <c r="L165" s="193"/>
      <c r="M165" s="193"/>
      <c r="N165" s="193"/>
      <c r="O165" s="193"/>
      <c r="P165" s="193"/>
      <c r="Q165" s="193"/>
    </row>
    <row r="166" spans="1:17" ht="25.5" x14ac:dyDescent="0.55000000000000004">
      <c r="A166" s="194" t="s">
        <v>290</v>
      </c>
      <c r="B166" s="194"/>
      <c r="C166" s="194"/>
      <c r="D166" s="194"/>
      <c r="E166" s="194" t="s">
        <v>291</v>
      </c>
      <c r="F166" s="194"/>
      <c r="G166" s="194"/>
      <c r="H166" s="194"/>
      <c r="I166" s="191"/>
      <c r="J166" s="194" t="s">
        <v>290</v>
      </c>
      <c r="K166" s="194"/>
      <c r="L166" s="194"/>
      <c r="M166" s="194"/>
      <c r="N166" s="194" t="s">
        <v>291</v>
      </c>
      <c r="O166" s="194"/>
      <c r="P166" s="194"/>
      <c r="Q166" s="194"/>
    </row>
    <row r="167" spans="1:17" ht="25.5" x14ac:dyDescent="0.55000000000000004">
      <c r="A167" s="183" t="s">
        <v>292</v>
      </c>
      <c r="B167" s="183"/>
      <c r="C167" s="183"/>
      <c r="D167" s="183"/>
      <c r="E167" s="183" t="s">
        <v>292</v>
      </c>
      <c r="F167" s="183"/>
      <c r="G167" s="183"/>
      <c r="H167" s="183"/>
      <c r="I167" s="191"/>
      <c r="J167" s="183" t="s">
        <v>292</v>
      </c>
      <c r="K167" s="183"/>
      <c r="L167" s="183"/>
      <c r="M167" s="183"/>
      <c r="N167" s="183" t="s">
        <v>292</v>
      </c>
      <c r="O167" s="183"/>
      <c r="P167" s="183"/>
      <c r="Q167" s="183"/>
    </row>
    <row r="168" spans="1:17" ht="25.5" x14ac:dyDescent="0.55000000000000004">
      <c r="A168" s="195" t="s">
        <v>328</v>
      </c>
      <c r="B168" s="195"/>
      <c r="C168" s="195"/>
      <c r="D168" s="195"/>
      <c r="E168" s="184" t="s">
        <v>440</v>
      </c>
      <c r="F168" s="185"/>
      <c r="G168" s="185"/>
      <c r="H168" s="186"/>
      <c r="I168" s="191"/>
      <c r="J168" s="182" t="s">
        <v>346</v>
      </c>
      <c r="K168" s="182"/>
      <c r="L168" s="182"/>
      <c r="M168" s="182"/>
      <c r="N168" s="182" t="s">
        <v>407</v>
      </c>
      <c r="O168" s="182"/>
      <c r="P168" s="182"/>
      <c r="Q168" s="182"/>
    </row>
    <row r="169" spans="1:17" ht="25.5" x14ac:dyDescent="0.55000000000000004">
      <c r="A169" s="182"/>
      <c r="B169" s="182"/>
      <c r="C169" s="182"/>
      <c r="D169" s="182"/>
      <c r="E169" s="182"/>
      <c r="F169" s="182"/>
      <c r="G169" s="182"/>
      <c r="H169" s="182"/>
      <c r="I169" s="191"/>
      <c r="J169" s="182" t="s">
        <v>391</v>
      </c>
      <c r="K169" s="182"/>
      <c r="L169" s="182"/>
      <c r="M169" s="182"/>
      <c r="N169" s="182"/>
      <c r="O169" s="182"/>
      <c r="P169" s="182"/>
      <c r="Q169" s="182"/>
    </row>
    <row r="170" spans="1:17" ht="25.5" x14ac:dyDescent="0.55000000000000004">
      <c r="A170" s="182"/>
      <c r="B170" s="182"/>
      <c r="C170" s="182"/>
      <c r="D170" s="182"/>
      <c r="E170" s="182"/>
      <c r="F170" s="182"/>
      <c r="G170" s="182"/>
      <c r="H170" s="182"/>
      <c r="I170" s="191"/>
      <c r="J170" s="182"/>
      <c r="K170" s="182"/>
      <c r="L170" s="182"/>
      <c r="M170" s="182"/>
      <c r="N170" s="182"/>
      <c r="O170" s="182"/>
      <c r="P170" s="182"/>
      <c r="Q170" s="182"/>
    </row>
    <row r="171" spans="1:17" ht="25.5" x14ac:dyDescent="0.55000000000000004">
      <c r="A171" s="182"/>
      <c r="B171" s="182"/>
      <c r="C171" s="182"/>
      <c r="D171" s="182"/>
      <c r="E171" s="182"/>
      <c r="F171" s="182"/>
      <c r="G171" s="182"/>
      <c r="H171" s="182"/>
      <c r="I171" s="191"/>
      <c r="J171" s="184"/>
      <c r="K171" s="185"/>
      <c r="L171" s="185"/>
      <c r="M171" s="186"/>
      <c r="N171" s="182"/>
      <c r="O171" s="182"/>
      <c r="P171" s="182"/>
      <c r="Q171" s="182"/>
    </row>
    <row r="172" spans="1:17" ht="25.5" x14ac:dyDescent="0.55000000000000004">
      <c r="A172" s="183" t="s">
        <v>293</v>
      </c>
      <c r="B172" s="183"/>
      <c r="C172" s="183"/>
      <c r="D172" s="183"/>
      <c r="E172" s="183" t="s">
        <v>293</v>
      </c>
      <c r="F172" s="183"/>
      <c r="G172" s="183"/>
      <c r="H172" s="183"/>
      <c r="I172" s="191"/>
      <c r="J172" s="183" t="s">
        <v>293</v>
      </c>
      <c r="K172" s="183"/>
      <c r="L172" s="183"/>
      <c r="M172" s="183"/>
      <c r="N172" s="183" t="s">
        <v>293</v>
      </c>
      <c r="O172" s="183"/>
      <c r="P172" s="183"/>
      <c r="Q172" s="183"/>
    </row>
    <row r="173" spans="1:17" ht="25.5" x14ac:dyDescent="0.55000000000000004">
      <c r="A173" s="182" t="s">
        <v>437</v>
      </c>
      <c r="B173" s="182"/>
      <c r="C173" s="182"/>
      <c r="D173" s="182"/>
      <c r="E173" s="182"/>
      <c r="F173" s="182"/>
      <c r="G173" s="182"/>
      <c r="H173" s="182"/>
      <c r="I173" s="191"/>
      <c r="J173" s="182" t="s">
        <v>454</v>
      </c>
      <c r="K173" s="182"/>
      <c r="L173" s="182"/>
      <c r="M173" s="182"/>
      <c r="N173" s="182"/>
      <c r="O173" s="182"/>
      <c r="P173" s="182"/>
      <c r="Q173" s="182"/>
    </row>
    <row r="174" spans="1:17" ht="25.5" x14ac:dyDescent="0.55000000000000004">
      <c r="A174" s="182"/>
      <c r="B174" s="182"/>
      <c r="C174" s="182"/>
      <c r="D174" s="182"/>
      <c r="E174" s="182"/>
      <c r="F174" s="182"/>
      <c r="G174" s="182"/>
      <c r="H174" s="182"/>
      <c r="I174" s="191"/>
      <c r="J174" s="182" t="s">
        <v>442</v>
      </c>
      <c r="K174" s="182"/>
      <c r="L174" s="182"/>
      <c r="M174" s="182"/>
      <c r="N174" s="182"/>
      <c r="O174" s="182"/>
      <c r="P174" s="182"/>
      <c r="Q174" s="182"/>
    </row>
    <row r="175" spans="1:17" ht="25.5" x14ac:dyDescent="0.55000000000000004">
      <c r="A175" s="182"/>
      <c r="B175" s="182"/>
      <c r="C175" s="182"/>
      <c r="D175" s="182"/>
      <c r="E175" s="182"/>
      <c r="F175" s="182"/>
      <c r="G175" s="182"/>
      <c r="H175" s="182"/>
      <c r="I175" s="191"/>
      <c r="J175" s="188"/>
      <c r="K175" s="188"/>
      <c r="L175" s="188"/>
      <c r="M175" s="188"/>
      <c r="N175" s="182"/>
      <c r="O175" s="182"/>
      <c r="P175" s="182"/>
      <c r="Q175" s="182"/>
    </row>
    <row r="176" spans="1:17" ht="25.5" x14ac:dyDescent="0.55000000000000004">
      <c r="A176" s="182"/>
      <c r="B176" s="182"/>
      <c r="C176" s="182"/>
      <c r="D176" s="182"/>
      <c r="E176" s="182"/>
      <c r="F176" s="182"/>
      <c r="G176" s="182"/>
      <c r="H176" s="182"/>
      <c r="I176" s="191"/>
      <c r="J176" s="182"/>
      <c r="K176" s="182"/>
      <c r="L176" s="182"/>
      <c r="M176" s="182"/>
      <c r="N176" s="182"/>
      <c r="O176" s="182"/>
      <c r="P176" s="182"/>
      <c r="Q176" s="182"/>
    </row>
    <row r="177" spans="1:17" ht="25.5" x14ac:dyDescent="0.55000000000000004">
      <c r="A177" s="183" t="s">
        <v>294</v>
      </c>
      <c r="B177" s="183"/>
      <c r="C177" s="183"/>
      <c r="D177" s="183"/>
      <c r="E177" s="183" t="s">
        <v>294</v>
      </c>
      <c r="F177" s="183"/>
      <c r="G177" s="183"/>
      <c r="H177" s="183"/>
      <c r="I177" s="191"/>
      <c r="J177" s="183" t="s">
        <v>294</v>
      </c>
      <c r="K177" s="183"/>
      <c r="L177" s="183"/>
      <c r="M177" s="183"/>
      <c r="N177" s="183" t="s">
        <v>294</v>
      </c>
      <c r="O177" s="183"/>
      <c r="P177" s="183"/>
      <c r="Q177" s="183"/>
    </row>
    <row r="178" spans="1:17" ht="25.5" x14ac:dyDescent="0.55000000000000004">
      <c r="A178" s="182" t="s">
        <v>439</v>
      </c>
      <c r="B178" s="182"/>
      <c r="C178" s="182"/>
      <c r="D178" s="182"/>
      <c r="E178" s="182" t="s">
        <v>340</v>
      </c>
      <c r="F178" s="182"/>
      <c r="G178" s="182"/>
      <c r="H178" s="182"/>
      <c r="I178" s="191"/>
      <c r="J178" s="182" t="s">
        <v>447</v>
      </c>
      <c r="K178" s="182"/>
      <c r="L178" s="182"/>
      <c r="M178" s="182"/>
      <c r="N178" s="182" t="s">
        <v>389</v>
      </c>
      <c r="O178" s="182"/>
      <c r="P178" s="182"/>
      <c r="Q178" s="182"/>
    </row>
    <row r="179" spans="1:17" ht="25.5" x14ac:dyDescent="0.55000000000000004">
      <c r="A179" s="182" t="s">
        <v>438</v>
      </c>
      <c r="B179" s="182"/>
      <c r="C179" s="182"/>
      <c r="D179" s="182"/>
      <c r="E179" s="182" t="s">
        <v>451</v>
      </c>
      <c r="F179" s="182"/>
      <c r="G179" s="182"/>
      <c r="H179" s="182"/>
      <c r="I179" s="191"/>
      <c r="J179" s="182" t="s">
        <v>393</v>
      </c>
      <c r="K179" s="182"/>
      <c r="L179" s="182"/>
      <c r="M179" s="182"/>
      <c r="N179" s="182" t="s">
        <v>369</v>
      </c>
      <c r="O179" s="182"/>
      <c r="P179" s="182"/>
      <c r="Q179" s="182"/>
    </row>
    <row r="180" spans="1:17" ht="25.5" x14ac:dyDescent="0.55000000000000004">
      <c r="A180" s="182" t="s">
        <v>404</v>
      </c>
      <c r="B180" s="182"/>
      <c r="C180" s="182"/>
      <c r="D180" s="182"/>
      <c r="E180" s="182" t="s">
        <v>452</v>
      </c>
      <c r="F180" s="182"/>
      <c r="G180" s="182"/>
      <c r="H180" s="182"/>
      <c r="I180" s="191"/>
      <c r="J180" s="182" t="s">
        <v>365</v>
      </c>
      <c r="K180" s="182"/>
      <c r="L180" s="182"/>
      <c r="M180" s="182"/>
      <c r="N180" s="184" t="s">
        <v>351</v>
      </c>
      <c r="O180" s="185"/>
      <c r="P180" s="185"/>
      <c r="Q180" s="186"/>
    </row>
    <row r="181" spans="1:17" ht="25.5" x14ac:dyDescent="0.55000000000000004">
      <c r="A181" s="182" t="s">
        <v>337</v>
      </c>
      <c r="B181" s="182"/>
      <c r="C181" s="182"/>
      <c r="D181" s="182"/>
      <c r="E181" s="182" t="s">
        <v>394</v>
      </c>
      <c r="F181" s="182"/>
      <c r="G181" s="182"/>
      <c r="H181" s="182"/>
      <c r="I181" s="191"/>
      <c r="J181" s="184" t="s">
        <v>455</v>
      </c>
      <c r="K181" s="185"/>
      <c r="L181" s="185"/>
      <c r="M181" s="186"/>
      <c r="N181" s="182" t="s">
        <v>339</v>
      </c>
      <c r="O181" s="182"/>
      <c r="P181" s="182"/>
      <c r="Q181" s="182"/>
    </row>
    <row r="182" spans="1:17" ht="25.5" x14ac:dyDescent="0.55000000000000004">
      <c r="A182" s="182" t="s">
        <v>450</v>
      </c>
      <c r="B182" s="182"/>
      <c r="C182" s="182"/>
      <c r="D182" s="182"/>
      <c r="E182" s="182" t="s">
        <v>422</v>
      </c>
      <c r="F182" s="182"/>
      <c r="G182" s="182"/>
      <c r="H182" s="182"/>
      <c r="I182" s="191"/>
      <c r="J182" s="184"/>
      <c r="K182" s="185"/>
      <c r="L182" s="185"/>
      <c r="M182" s="186"/>
      <c r="N182" s="184"/>
      <c r="O182" s="185"/>
      <c r="P182" s="185"/>
      <c r="Q182" s="186"/>
    </row>
    <row r="183" spans="1:17" ht="25.5" x14ac:dyDescent="0.55000000000000004">
      <c r="A183" s="182" t="s">
        <v>402</v>
      </c>
      <c r="B183" s="182"/>
      <c r="C183" s="182"/>
      <c r="D183" s="182"/>
      <c r="E183" s="182"/>
      <c r="F183" s="182"/>
      <c r="G183" s="182"/>
      <c r="H183" s="182"/>
      <c r="I183" s="191"/>
      <c r="J183" s="184"/>
      <c r="K183" s="185"/>
      <c r="L183" s="185"/>
      <c r="M183" s="186"/>
      <c r="N183" s="182"/>
      <c r="O183" s="182"/>
      <c r="P183" s="182"/>
      <c r="Q183" s="182"/>
    </row>
    <row r="184" spans="1:17" ht="25.5" x14ac:dyDescent="0.55000000000000004">
      <c r="A184" s="187"/>
      <c r="B184" s="187"/>
      <c r="C184" s="187"/>
      <c r="D184" s="187"/>
      <c r="E184" s="182"/>
      <c r="F184" s="182"/>
      <c r="G184" s="182"/>
      <c r="H184" s="182"/>
      <c r="I184" s="191"/>
      <c r="J184" s="182"/>
      <c r="K184" s="182"/>
      <c r="L184" s="182"/>
      <c r="M184" s="182"/>
      <c r="N184" s="182"/>
      <c r="O184" s="182"/>
      <c r="P184" s="182"/>
      <c r="Q184" s="182"/>
    </row>
    <row r="185" spans="1:17" ht="25.5" x14ac:dyDescent="0.55000000000000004">
      <c r="A185" s="183" t="s">
        <v>295</v>
      </c>
      <c r="B185" s="183"/>
      <c r="C185" s="183"/>
      <c r="D185" s="183"/>
      <c r="E185" s="183" t="s">
        <v>295</v>
      </c>
      <c r="F185" s="183"/>
      <c r="G185" s="183"/>
      <c r="H185" s="183"/>
      <c r="I185" s="191"/>
      <c r="J185" s="183" t="s">
        <v>295</v>
      </c>
      <c r="K185" s="183"/>
      <c r="L185" s="183"/>
      <c r="M185" s="183"/>
      <c r="N185" s="183" t="s">
        <v>295</v>
      </c>
      <c r="O185" s="183"/>
      <c r="P185" s="183"/>
      <c r="Q185" s="183"/>
    </row>
    <row r="186" spans="1:17" ht="25.5" x14ac:dyDescent="0.55000000000000004">
      <c r="A186" s="182" t="s">
        <v>397</v>
      </c>
      <c r="B186" s="182"/>
      <c r="C186" s="182"/>
      <c r="D186" s="182"/>
      <c r="E186" s="182" t="s">
        <v>453</v>
      </c>
      <c r="F186" s="182"/>
      <c r="G186" s="182"/>
      <c r="H186" s="182"/>
      <c r="I186" s="191"/>
      <c r="J186" s="182" t="s">
        <v>444</v>
      </c>
      <c r="K186" s="182"/>
      <c r="L186" s="182"/>
      <c r="M186" s="182"/>
      <c r="N186" s="184" t="s">
        <v>402</v>
      </c>
      <c r="O186" s="185"/>
      <c r="P186" s="185"/>
      <c r="Q186" s="186"/>
    </row>
    <row r="187" spans="1:17" ht="25.5" x14ac:dyDescent="0.55000000000000004">
      <c r="A187" s="182"/>
      <c r="B187" s="182"/>
      <c r="C187" s="182"/>
      <c r="D187" s="182"/>
      <c r="E187" s="182"/>
      <c r="F187" s="182"/>
      <c r="G187" s="182"/>
      <c r="H187" s="182"/>
      <c r="I187" s="191"/>
      <c r="J187" s="182"/>
      <c r="K187" s="182"/>
      <c r="L187" s="182"/>
      <c r="M187" s="182"/>
      <c r="N187" s="182" t="s">
        <v>445</v>
      </c>
      <c r="O187" s="182"/>
      <c r="P187" s="182"/>
      <c r="Q187" s="182"/>
    </row>
    <row r="188" spans="1:17" ht="25.5" x14ac:dyDescent="0.55000000000000004">
      <c r="A188" s="182"/>
      <c r="B188" s="182"/>
      <c r="C188" s="182"/>
      <c r="D188" s="182"/>
      <c r="E188" s="182"/>
      <c r="F188" s="182"/>
      <c r="G188" s="182"/>
      <c r="H188" s="182"/>
      <c r="I188" s="191"/>
      <c r="J188" s="182"/>
      <c r="K188" s="182"/>
      <c r="L188" s="182"/>
      <c r="M188" s="182"/>
      <c r="N188" s="182"/>
      <c r="O188" s="182"/>
      <c r="P188" s="182"/>
      <c r="Q188" s="182"/>
    </row>
    <row r="189" spans="1:17" ht="26.25" thickBot="1" x14ac:dyDescent="0.6">
      <c r="A189" s="182"/>
      <c r="B189" s="182"/>
      <c r="C189" s="182"/>
      <c r="D189" s="182"/>
      <c r="E189" s="182"/>
      <c r="F189" s="182"/>
      <c r="G189" s="182"/>
      <c r="H189" s="182"/>
      <c r="I189" s="192"/>
      <c r="J189" s="182"/>
      <c r="K189" s="182"/>
      <c r="L189" s="182"/>
      <c r="M189" s="182"/>
      <c r="N189" s="182"/>
      <c r="O189" s="182"/>
      <c r="P189" s="182"/>
      <c r="Q189" s="182"/>
    </row>
    <row r="190" spans="1:17" ht="21.75" thickBot="1" x14ac:dyDescent="0.6"/>
    <row r="191" spans="1:17" ht="31.5" x14ac:dyDescent="0.55000000000000004">
      <c r="A191" s="189" t="s">
        <v>458</v>
      </c>
      <c r="B191" s="189"/>
      <c r="C191" s="189"/>
      <c r="D191" s="189"/>
      <c r="E191" s="189"/>
      <c r="F191" s="189"/>
      <c r="G191" s="189"/>
      <c r="H191" s="189"/>
      <c r="I191" s="190"/>
      <c r="J191" s="189" t="s">
        <v>458</v>
      </c>
      <c r="K191" s="189"/>
      <c r="L191" s="189"/>
      <c r="M191" s="189"/>
      <c r="N191" s="189"/>
      <c r="O191" s="189"/>
      <c r="P191" s="189"/>
      <c r="Q191" s="189"/>
    </row>
    <row r="192" spans="1:17" ht="41.25" x14ac:dyDescent="0.55000000000000004">
      <c r="A192" s="193" t="s">
        <v>211</v>
      </c>
      <c r="B192" s="193"/>
      <c r="C192" s="193"/>
      <c r="D192" s="193"/>
      <c r="E192" s="193"/>
      <c r="F192" s="193"/>
      <c r="G192" s="193"/>
      <c r="H192" s="193"/>
      <c r="I192" s="191"/>
      <c r="J192" s="193" t="s">
        <v>377</v>
      </c>
      <c r="K192" s="193"/>
      <c r="L192" s="193"/>
      <c r="M192" s="193"/>
      <c r="N192" s="193"/>
      <c r="O192" s="193"/>
      <c r="P192" s="193"/>
      <c r="Q192" s="193"/>
    </row>
    <row r="193" spans="1:17" ht="25.5" x14ac:dyDescent="0.55000000000000004">
      <c r="A193" s="194" t="s">
        <v>290</v>
      </c>
      <c r="B193" s="194"/>
      <c r="C193" s="194"/>
      <c r="D193" s="194"/>
      <c r="E193" s="194" t="s">
        <v>291</v>
      </c>
      <c r="F193" s="194"/>
      <c r="G193" s="194"/>
      <c r="H193" s="194"/>
      <c r="I193" s="191"/>
      <c r="J193" s="194" t="s">
        <v>290</v>
      </c>
      <c r="K193" s="194"/>
      <c r="L193" s="194"/>
      <c r="M193" s="194"/>
      <c r="N193" s="194" t="s">
        <v>291</v>
      </c>
      <c r="O193" s="194"/>
      <c r="P193" s="194"/>
      <c r="Q193" s="194"/>
    </row>
    <row r="194" spans="1:17" ht="25.5" x14ac:dyDescent="0.55000000000000004">
      <c r="A194" s="183" t="s">
        <v>292</v>
      </c>
      <c r="B194" s="183"/>
      <c r="C194" s="183"/>
      <c r="D194" s="183"/>
      <c r="E194" s="183" t="s">
        <v>292</v>
      </c>
      <c r="F194" s="183"/>
      <c r="G194" s="183"/>
      <c r="H194" s="183"/>
      <c r="I194" s="191"/>
      <c r="J194" s="183" t="s">
        <v>292</v>
      </c>
      <c r="K194" s="183"/>
      <c r="L194" s="183"/>
      <c r="M194" s="183"/>
      <c r="N194" s="183" t="s">
        <v>292</v>
      </c>
      <c r="O194" s="183"/>
      <c r="P194" s="183"/>
      <c r="Q194" s="183"/>
    </row>
    <row r="195" spans="1:17" ht="25.5" x14ac:dyDescent="0.55000000000000004">
      <c r="A195" s="195" t="s">
        <v>328</v>
      </c>
      <c r="B195" s="195"/>
      <c r="C195" s="195"/>
      <c r="D195" s="195"/>
      <c r="E195" s="184" t="s">
        <v>345</v>
      </c>
      <c r="F195" s="185"/>
      <c r="G195" s="185"/>
      <c r="H195" s="186"/>
      <c r="I195" s="191"/>
      <c r="J195" s="182" t="s">
        <v>407</v>
      </c>
      <c r="K195" s="182"/>
      <c r="L195" s="182"/>
      <c r="M195" s="182"/>
      <c r="N195" s="182" t="s">
        <v>346</v>
      </c>
      <c r="O195" s="182"/>
      <c r="P195" s="182"/>
      <c r="Q195" s="182"/>
    </row>
    <row r="196" spans="1:17" ht="25.5" x14ac:dyDescent="0.55000000000000004">
      <c r="A196" s="182"/>
      <c r="B196" s="182"/>
      <c r="C196" s="182"/>
      <c r="D196" s="182"/>
      <c r="E196" s="182"/>
      <c r="F196" s="182"/>
      <c r="G196" s="182"/>
      <c r="H196" s="182"/>
      <c r="I196" s="191"/>
      <c r="J196" s="182"/>
      <c r="K196" s="182"/>
      <c r="L196" s="182"/>
      <c r="M196" s="182"/>
      <c r="N196" s="182"/>
      <c r="O196" s="182"/>
      <c r="P196" s="182"/>
      <c r="Q196" s="182"/>
    </row>
    <row r="197" spans="1:17" ht="25.5" x14ac:dyDescent="0.55000000000000004">
      <c r="A197" s="182"/>
      <c r="B197" s="182"/>
      <c r="C197" s="182"/>
      <c r="D197" s="182"/>
      <c r="E197" s="182"/>
      <c r="F197" s="182"/>
      <c r="G197" s="182"/>
      <c r="H197" s="182"/>
      <c r="I197" s="191"/>
      <c r="J197" s="182"/>
      <c r="K197" s="182"/>
      <c r="L197" s="182"/>
      <c r="M197" s="182"/>
      <c r="N197" s="182"/>
      <c r="O197" s="182"/>
      <c r="P197" s="182"/>
      <c r="Q197" s="182"/>
    </row>
    <row r="198" spans="1:17" ht="25.5" x14ac:dyDescent="0.55000000000000004">
      <c r="A198" s="182"/>
      <c r="B198" s="182"/>
      <c r="C198" s="182"/>
      <c r="D198" s="182"/>
      <c r="E198" s="182"/>
      <c r="F198" s="182"/>
      <c r="G198" s="182"/>
      <c r="H198" s="182"/>
      <c r="I198" s="191"/>
      <c r="J198" s="184"/>
      <c r="K198" s="185"/>
      <c r="L198" s="185"/>
      <c r="M198" s="186"/>
      <c r="N198" s="182"/>
      <c r="O198" s="182"/>
      <c r="P198" s="182"/>
      <c r="Q198" s="182"/>
    </row>
    <row r="199" spans="1:17" ht="25.5" x14ac:dyDescent="0.55000000000000004">
      <c r="A199" s="183" t="s">
        <v>293</v>
      </c>
      <c r="B199" s="183"/>
      <c r="C199" s="183"/>
      <c r="D199" s="183"/>
      <c r="E199" s="183" t="s">
        <v>293</v>
      </c>
      <c r="F199" s="183"/>
      <c r="G199" s="183"/>
      <c r="H199" s="183"/>
      <c r="I199" s="191"/>
      <c r="J199" s="183" t="s">
        <v>293</v>
      </c>
      <c r="K199" s="183"/>
      <c r="L199" s="183"/>
      <c r="M199" s="183"/>
      <c r="N199" s="183" t="s">
        <v>293</v>
      </c>
      <c r="O199" s="183"/>
      <c r="P199" s="183"/>
      <c r="Q199" s="183"/>
    </row>
    <row r="200" spans="1:17" ht="25.5" x14ac:dyDescent="0.55000000000000004">
      <c r="A200" s="182" t="s">
        <v>334</v>
      </c>
      <c r="B200" s="182"/>
      <c r="C200" s="182"/>
      <c r="D200" s="182"/>
      <c r="E200" s="182" t="s">
        <v>437</v>
      </c>
      <c r="F200" s="182"/>
      <c r="G200" s="182"/>
      <c r="H200" s="182"/>
      <c r="I200" s="191"/>
      <c r="J200" s="182" t="s">
        <v>454</v>
      </c>
      <c r="K200" s="182"/>
      <c r="L200" s="182"/>
      <c r="M200" s="182"/>
      <c r="N200" s="182" t="s">
        <v>441</v>
      </c>
      <c r="O200" s="182"/>
      <c r="P200" s="182"/>
      <c r="Q200" s="182"/>
    </row>
    <row r="201" spans="1:17" ht="25.5" x14ac:dyDescent="0.55000000000000004">
      <c r="A201" s="182"/>
      <c r="B201" s="182"/>
      <c r="C201" s="182"/>
      <c r="D201" s="182"/>
      <c r="E201" s="182"/>
      <c r="F201" s="182"/>
      <c r="G201" s="182"/>
      <c r="H201" s="182"/>
      <c r="I201" s="191"/>
      <c r="J201" s="182" t="s">
        <v>442</v>
      </c>
      <c r="K201" s="182"/>
      <c r="L201" s="182"/>
      <c r="M201" s="182"/>
      <c r="N201" s="182"/>
      <c r="O201" s="182"/>
      <c r="P201" s="182"/>
      <c r="Q201" s="182"/>
    </row>
    <row r="202" spans="1:17" ht="25.5" x14ac:dyDescent="0.55000000000000004">
      <c r="A202" s="182"/>
      <c r="B202" s="182"/>
      <c r="C202" s="182"/>
      <c r="D202" s="182"/>
      <c r="E202" s="182"/>
      <c r="F202" s="182"/>
      <c r="G202" s="182"/>
      <c r="H202" s="182"/>
      <c r="I202" s="191"/>
      <c r="J202" s="188"/>
      <c r="K202" s="188"/>
      <c r="L202" s="188"/>
      <c r="M202" s="188"/>
      <c r="N202" s="182"/>
      <c r="O202" s="182"/>
      <c r="P202" s="182"/>
      <c r="Q202" s="182"/>
    </row>
    <row r="203" spans="1:17" ht="25.5" x14ac:dyDescent="0.55000000000000004">
      <c r="A203" s="182"/>
      <c r="B203" s="182"/>
      <c r="C203" s="182"/>
      <c r="D203" s="182"/>
      <c r="E203" s="182"/>
      <c r="F203" s="182"/>
      <c r="G203" s="182"/>
      <c r="H203" s="182"/>
      <c r="I203" s="191"/>
      <c r="J203" s="182"/>
      <c r="K203" s="182"/>
      <c r="L203" s="182"/>
      <c r="M203" s="182"/>
      <c r="N203" s="182"/>
      <c r="O203" s="182"/>
      <c r="P203" s="182"/>
      <c r="Q203" s="182"/>
    </row>
    <row r="204" spans="1:17" ht="25.5" x14ac:dyDescent="0.55000000000000004">
      <c r="A204" s="183" t="s">
        <v>294</v>
      </c>
      <c r="B204" s="183"/>
      <c r="C204" s="183"/>
      <c r="D204" s="183"/>
      <c r="E204" s="183" t="s">
        <v>294</v>
      </c>
      <c r="F204" s="183"/>
      <c r="G204" s="183"/>
      <c r="H204" s="183"/>
      <c r="I204" s="191"/>
      <c r="J204" s="183" t="s">
        <v>294</v>
      </c>
      <c r="K204" s="183"/>
      <c r="L204" s="183"/>
      <c r="M204" s="183"/>
      <c r="N204" s="183" t="s">
        <v>294</v>
      </c>
      <c r="O204" s="183"/>
      <c r="P204" s="183"/>
      <c r="Q204" s="183"/>
    </row>
    <row r="205" spans="1:17" ht="25.5" x14ac:dyDescent="0.55000000000000004">
      <c r="A205" s="182" t="s">
        <v>340</v>
      </c>
      <c r="B205" s="182"/>
      <c r="C205" s="182"/>
      <c r="D205" s="182"/>
      <c r="E205" s="182" t="s">
        <v>438</v>
      </c>
      <c r="F205" s="182"/>
      <c r="G205" s="182"/>
      <c r="H205" s="182"/>
      <c r="I205" s="191"/>
      <c r="J205" s="182" t="s">
        <v>459</v>
      </c>
      <c r="K205" s="182"/>
      <c r="L205" s="182"/>
      <c r="M205" s="182"/>
      <c r="N205" s="182" t="s">
        <v>460</v>
      </c>
      <c r="O205" s="182"/>
      <c r="P205" s="182"/>
      <c r="Q205" s="182"/>
    </row>
    <row r="206" spans="1:17" ht="25.5" x14ac:dyDescent="0.55000000000000004">
      <c r="A206" s="182" t="s">
        <v>452</v>
      </c>
      <c r="B206" s="182"/>
      <c r="C206" s="182"/>
      <c r="D206" s="182"/>
      <c r="E206" s="182" t="s">
        <v>450</v>
      </c>
      <c r="F206" s="182"/>
      <c r="G206" s="182"/>
      <c r="H206" s="182"/>
      <c r="I206" s="191"/>
      <c r="J206" s="182" t="s">
        <v>389</v>
      </c>
      <c r="K206" s="182"/>
      <c r="L206" s="182"/>
      <c r="M206" s="182"/>
      <c r="N206" s="182" t="s">
        <v>430</v>
      </c>
      <c r="O206" s="182"/>
      <c r="P206" s="182"/>
      <c r="Q206" s="182"/>
    </row>
    <row r="207" spans="1:17" ht="25.5" x14ac:dyDescent="0.55000000000000004">
      <c r="A207" s="182" t="s">
        <v>394</v>
      </c>
      <c r="B207" s="182"/>
      <c r="C207" s="182"/>
      <c r="D207" s="182"/>
      <c r="E207" s="182" t="s">
        <v>457</v>
      </c>
      <c r="F207" s="182"/>
      <c r="G207" s="182"/>
      <c r="H207" s="182"/>
      <c r="I207" s="191"/>
      <c r="J207" s="182" t="s">
        <v>365</v>
      </c>
      <c r="K207" s="182"/>
      <c r="L207" s="182"/>
      <c r="M207" s="182"/>
      <c r="N207" s="184" t="s">
        <v>351</v>
      </c>
      <c r="O207" s="185"/>
      <c r="P207" s="185"/>
      <c r="Q207" s="186"/>
    </row>
    <row r="208" spans="1:17" ht="25.5" x14ac:dyDescent="0.55000000000000004">
      <c r="A208" s="182" t="s">
        <v>384</v>
      </c>
      <c r="B208" s="182"/>
      <c r="C208" s="182"/>
      <c r="D208" s="182"/>
      <c r="E208" s="182" t="s">
        <v>337</v>
      </c>
      <c r="F208" s="182"/>
      <c r="G208" s="182"/>
      <c r="H208" s="182"/>
      <c r="I208" s="191"/>
      <c r="J208" s="184" t="s">
        <v>369</v>
      </c>
      <c r="K208" s="185"/>
      <c r="L208" s="185"/>
      <c r="M208" s="186"/>
      <c r="N208" s="182" t="s">
        <v>339</v>
      </c>
      <c r="O208" s="182"/>
      <c r="P208" s="182"/>
      <c r="Q208" s="182"/>
    </row>
    <row r="209" spans="1:17" ht="25.5" x14ac:dyDescent="0.55000000000000004">
      <c r="A209" s="182"/>
      <c r="B209" s="182"/>
      <c r="C209" s="182"/>
      <c r="D209" s="182"/>
      <c r="E209" s="182" t="s">
        <v>386</v>
      </c>
      <c r="F209" s="182"/>
      <c r="G209" s="182"/>
      <c r="H209" s="182"/>
      <c r="I209" s="191"/>
      <c r="J209" s="184" t="s">
        <v>446</v>
      </c>
      <c r="K209" s="185"/>
      <c r="L209" s="185"/>
      <c r="M209" s="186"/>
      <c r="N209" s="184" t="s">
        <v>370</v>
      </c>
      <c r="O209" s="185"/>
      <c r="P209" s="185"/>
      <c r="Q209" s="186"/>
    </row>
    <row r="210" spans="1:17" ht="25.5" x14ac:dyDescent="0.55000000000000004">
      <c r="A210" s="182"/>
      <c r="B210" s="182"/>
      <c r="C210" s="182"/>
      <c r="D210" s="182"/>
      <c r="E210" s="182"/>
      <c r="F210" s="182"/>
      <c r="G210" s="182"/>
      <c r="H210" s="182"/>
      <c r="I210" s="191"/>
      <c r="J210" s="184"/>
      <c r="K210" s="185"/>
      <c r="L210" s="185"/>
      <c r="M210" s="186"/>
      <c r="N210" s="182" t="s">
        <v>404</v>
      </c>
      <c r="O210" s="182"/>
      <c r="P210" s="182"/>
      <c r="Q210" s="182"/>
    </row>
    <row r="211" spans="1:17" ht="25.5" x14ac:dyDescent="0.55000000000000004">
      <c r="A211" s="187"/>
      <c r="B211" s="187"/>
      <c r="C211" s="187"/>
      <c r="D211" s="187"/>
      <c r="E211" s="182"/>
      <c r="F211" s="182"/>
      <c r="G211" s="182"/>
      <c r="H211" s="182"/>
      <c r="I211" s="191"/>
      <c r="J211" s="182"/>
      <c r="K211" s="182"/>
      <c r="L211" s="182"/>
      <c r="M211" s="182"/>
      <c r="N211" s="182"/>
      <c r="O211" s="182"/>
      <c r="P211" s="182"/>
      <c r="Q211" s="182"/>
    </row>
    <row r="212" spans="1:17" ht="25.5" x14ac:dyDescent="0.55000000000000004">
      <c r="A212" s="183" t="s">
        <v>295</v>
      </c>
      <c r="B212" s="183"/>
      <c r="C212" s="183"/>
      <c r="D212" s="183"/>
      <c r="E212" s="183" t="s">
        <v>295</v>
      </c>
      <c r="F212" s="183"/>
      <c r="G212" s="183"/>
      <c r="H212" s="183"/>
      <c r="I212" s="191"/>
      <c r="J212" s="183" t="s">
        <v>295</v>
      </c>
      <c r="K212" s="183"/>
      <c r="L212" s="183"/>
      <c r="M212" s="183"/>
      <c r="N212" s="183" t="s">
        <v>295</v>
      </c>
      <c r="O212" s="183"/>
      <c r="P212" s="183"/>
      <c r="Q212" s="183"/>
    </row>
    <row r="213" spans="1:17" ht="25.5" x14ac:dyDescent="0.55000000000000004">
      <c r="A213" s="182" t="s">
        <v>456</v>
      </c>
      <c r="B213" s="182"/>
      <c r="C213" s="182"/>
      <c r="D213" s="182"/>
      <c r="E213" s="182" t="s">
        <v>453</v>
      </c>
      <c r="F213" s="182"/>
      <c r="G213" s="182"/>
      <c r="H213" s="182"/>
      <c r="I213" s="191"/>
      <c r="J213" s="182" t="s">
        <v>397</v>
      </c>
      <c r="K213" s="182"/>
      <c r="L213" s="182"/>
      <c r="M213" s="182"/>
      <c r="N213" s="184" t="s">
        <v>402</v>
      </c>
      <c r="O213" s="185"/>
      <c r="P213" s="185"/>
      <c r="Q213" s="186"/>
    </row>
    <row r="214" spans="1:17" ht="25.5" x14ac:dyDescent="0.55000000000000004">
      <c r="A214" s="182"/>
      <c r="B214" s="182"/>
      <c r="C214" s="182"/>
      <c r="D214" s="182"/>
      <c r="E214" s="182"/>
      <c r="F214" s="182"/>
      <c r="G214" s="182"/>
      <c r="H214" s="182"/>
      <c r="I214" s="191"/>
      <c r="J214" s="182"/>
      <c r="K214" s="182"/>
      <c r="L214" s="182"/>
      <c r="M214" s="182"/>
      <c r="N214" s="182" t="s">
        <v>461</v>
      </c>
      <c r="O214" s="182"/>
      <c r="P214" s="182"/>
      <c r="Q214" s="182"/>
    </row>
    <row r="215" spans="1:17" ht="25.5" x14ac:dyDescent="0.55000000000000004">
      <c r="A215" s="182"/>
      <c r="B215" s="182"/>
      <c r="C215" s="182"/>
      <c r="D215" s="182"/>
      <c r="E215" s="182"/>
      <c r="F215" s="182"/>
      <c r="G215" s="182"/>
      <c r="H215" s="182"/>
      <c r="I215" s="191"/>
      <c r="J215" s="182"/>
      <c r="K215" s="182"/>
      <c r="L215" s="182"/>
      <c r="M215" s="182"/>
      <c r="N215" s="182"/>
      <c r="O215" s="182"/>
      <c r="P215" s="182"/>
      <c r="Q215" s="182"/>
    </row>
    <row r="216" spans="1:17" ht="26.25" thickBot="1" x14ac:dyDescent="0.6">
      <c r="A216" s="182"/>
      <c r="B216" s="182"/>
      <c r="C216" s="182"/>
      <c r="D216" s="182"/>
      <c r="E216" s="182"/>
      <c r="F216" s="182"/>
      <c r="G216" s="182"/>
      <c r="H216" s="182"/>
      <c r="I216" s="192"/>
      <c r="J216" s="182"/>
      <c r="K216" s="182"/>
      <c r="L216" s="182"/>
      <c r="M216" s="182"/>
      <c r="N216" s="182"/>
      <c r="O216" s="182"/>
      <c r="P216" s="182"/>
      <c r="Q216" s="182"/>
    </row>
  </sheetData>
  <mergeCells count="807">
    <mergeCell ref="A215:D215"/>
    <mergeCell ref="E215:H215"/>
    <mergeCell ref="J215:M215"/>
    <mergeCell ref="N215:Q215"/>
    <mergeCell ref="A216:D216"/>
    <mergeCell ref="E216:H216"/>
    <mergeCell ref="J216:M216"/>
    <mergeCell ref="N216:Q216"/>
    <mergeCell ref="E208:H208"/>
    <mergeCell ref="A212:D212"/>
    <mergeCell ref="E212:H212"/>
    <mergeCell ref="J212:M212"/>
    <mergeCell ref="N212:Q212"/>
    <mergeCell ref="A213:D213"/>
    <mergeCell ref="E213:H213"/>
    <mergeCell ref="J213:M213"/>
    <mergeCell ref="N213:Q213"/>
    <mergeCell ref="A214:D214"/>
    <mergeCell ref="E214:H214"/>
    <mergeCell ref="J214:M214"/>
    <mergeCell ref="N214:Q214"/>
    <mergeCell ref="A209:D209"/>
    <mergeCell ref="E209:H209"/>
    <mergeCell ref="J209:M209"/>
    <mergeCell ref="N209:Q209"/>
    <mergeCell ref="A210:D210"/>
    <mergeCell ref="E210:H210"/>
    <mergeCell ref="J210:M210"/>
    <mergeCell ref="N210:Q210"/>
    <mergeCell ref="A211:D211"/>
    <mergeCell ref="E211:H211"/>
    <mergeCell ref="J211:M211"/>
    <mergeCell ref="N211:Q211"/>
    <mergeCell ref="A206:D206"/>
    <mergeCell ref="E206:H206"/>
    <mergeCell ref="J206:M206"/>
    <mergeCell ref="N206:Q206"/>
    <mergeCell ref="A207:D207"/>
    <mergeCell ref="E207:H207"/>
    <mergeCell ref="J207:M207"/>
    <mergeCell ref="N207:Q207"/>
    <mergeCell ref="A208:D208"/>
    <mergeCell ref="J208:M208"/>
    <mergeCell ref="N208:Q208"/>
    <mergeCell ref="A203:D203"/>
    <mergeCell ref="E203:H203"/>
    <mergeCell ref="J203:M203"/>
    <mergeCell ref="N203:Q203"/>
    <mergeCell ref="A204:D204"/>
    <mergeCell ref="E204:H204"/>
    <mergeCell ref="J204:M204"/>
    <mergeCell ref="N204:Q204"/>
    <mergeCell ref="A205:D205"/>
    <mergeCell ref="E205:H205"/>
    <mergeCell ref="J205:M205"/>
    <mergeCell ref="N205:Q205"/>
    <mergeCell ref="A200:D200"/>
    <mergeCell ref="E200:H200"/>
    <mergeCell ref="J200:M200"/>
    <mergeCell ref="N200:Q200"/>
    <mergeCell ref="A201:D201"/>
    <mergeCell ref="E201:H201"/>
    <mergeCell ref="J201:M201"/>
    <mergeCell ref="N201:Q201"/>
    <mergeCell ref="A202:D202"/>
    <mergeCell ref="E202:H202"/>
    <mergeCell ref="J202:M202"/>
    <mergeCell ref="N202:Q202"/>
    <mergeCell ref="N197:Q197"/>
    <mergeCell ref="A198:D198"/>
    <mergeCell ref="E198:H198"/>
    <mergeCell ref="J198:M198"/>
    <mergeCell ref="N198:Q198"/>
    <mergeCell ref="A199:D199"/>
    <mergeCell ref="E199:H199"/>
    <mergeCell ref="J199:M199"/>
    <mergeCell ref="N199:Q199"/>
    <mergeCell ref="A191:H191"/>
    <mergeCell ref="I191:I216"/>
    <mergeCell ref="J191:Q191"/>
    <mergeCell ref="A192:H192"/>
    <mergeCell ref="J192:Q192"/>
    <mergeCell ref="A193:D193"/>
    <mergeCell ref="E193:H193"/>
    <mergeCell ref="J193:M193"/>
    <mergeCell ref="N193:Q193"/>
    <mergeCell ref="A194:D194"/>
    <mergeCell ref="E194:H194"/>
    <mergeCell ref="J194:M194"/>
    <mergeCell ref="N194:Q194"/>
    <mergeCell ref="A195:D195"/>
    <mergeCell ref="E195:H195"/>
    <mergeCell ref="J195:M195"/>
    <mergeCell ref="N195:Q195"/>
    <mergeCell ref="A196:D196"/>
    <mergeCell ref="E196:H196"/>
    <mergeCell ref="J196:M196"/>
    <mergeCell ref="N196:Q196"/>
    <mergeCell ref="A197:D197"/>
    <mergeCell ref="E197:H197"/>
    <mergeCell ref="J197:M197"/>
    <mergeCell ref="A10:D10"/>
    <mergeCell ref="A11:D11"/>
    <mergeCell ref="A13:D13"/>
    <mergeCell ref="E10:H10"/>
    <mergeCell ref="E11:H11"/>
    <mergeCell ref="E13:H13"/>
    <mergeCell ref="A1:H1"/>
    <mergeCell ref="A2:H2"/>
    <mergeCell ref="A3:D3"/>
    <mergeCell ref="E3:H3"/>
    <mergeCell ref="A4:D4"/>
    <mergeCell ref="E4:H4"/>
    <mergeCell ref="A5:D5"/>
    <mergeCell ref="A6:D6"/>
    <mergeCell ref="A8:D8"/>
    <mergeCell ref="A9:D9"/>
    <mergeCell ref="E5:H5"/>
    <mergeCell ref="E6:H6"/>
    <mergeCell ref="E8:H8"/>
    <mergeCell ref="E9:H9"/>
    <mergeCell ref="A7:D7"/>
    <mergeCell ref="E7:H7"/>
    <mergeCell ref="J1:Q1"/>
    <mergeCell ref="J2:Q2"/>
    <mergeCell ref="J3:M3"/>
    <mergeCell ref="N3:Q3"/>
    <mergeCell ref="J4:M4"/>
    <mergeCell ref="N4:Q4"/>
    <mergeCell ref="E17:H17"/>
    <mergeCell ref="E18:H18"/>
    <mergeCell ref="E19:H19"/>
    <mergeCell ref="E14:H14"/>
    <mergeCell ref="E15:H15"/>
    <mergeCell ref="E16:H16"/>
    <mergeCell ref="J10:M10"/>
    <mergeCell ref="N10:Q10"/>
    <mergeCell ref="J5:M5"/>
    <mergeCell ref="N5:Q5"/>
    <mergeCell ref="J6:M6"/>
    <mergeCell ref="N6:Q6"/>
    <mergeCell ref="J7:M7"/>
    <mergeCell ref="N7:Q7"/>
    <mergeCell ref="J8:M8"/>
    <mergeCell ref="N8:Q8"/>
    <mergeCell ref="J9:M9"/>
    <mergeCell ref="N9:Q9"/>
    <mergeCell ref="A25:D25"/>
    <mergeCell ref="E25:H25"/>
    <mergeCell ref="A26:D26"/>
    <mergeCell ref="E26:H26"/>
    <mergeCell ref="A12:D12"/>
    <mergeCell ref="E12:H12"/>
    <mergeCell ref="A22:D22"/>
    <mergeCell ref="E22:H22"/>
    <mergeCell ref="A23:D23"/>
    <mergeCell ref="E23:H23"/>
    <mergeCell ref="A24:D24"/>
    <mergeCell ref="E24:H24"/>
    <mergeCell ref="A21:D21"/>
    <mergeCell ref="E21:H21"/>
    <mergeCell ref="A19:D19"/>
    <mergeCell ref="A20:D20"/>
    <mergeCell ref="E20:H20"/>
    <mergeCell ref="A14:D14"/>
    <mergeCell ref="A15:D15"/>
    <mergeCell ref="A16:D16"/>
    <mergeCell ref="A17:D17"/>
    <mergeCell ref="A18:D18"/>
    <mergeCell ref="J11:M11"/>
    <mergeCell ref="N11:Q11"/>
    <mergeCell ref="J12:M12"/>
    <mergeCell ref="N12:Q12"/>
    <mergeCell ref="J13:M13"/>
    <mergeCell ref="N13:Q13"/>
    <mergeCell ref="J14:M14"/>
    <mergeCell ref="N14:Q14"/>
    <mergeCell ref="J15:M15"/>
    <mergeCell ref="J26:M26"/>
    <mergeCell ref="N26:Q26"/>
    <mergeCell ref="J23:M23"/>
    <mergeCell ref="N23:Q23"/>
    <mergeCell ref="J24:M24"/>
    <mergeCell ref="N24:Q24"/>
    <mergeCell ref="J25:M25"/>
    <mergeCell ref="N25:Q25"/>
    <mergeCell ref="N15:Q15"/>
    <mergeCell ref="J16:M16"/>
    <mergeCell ref="N16:Q16"/>
    <mergeCell ref="J17:M17"/>
    <mergeCell ref="N17:Q17"/>
    <mergeCell ref="J18:M18"/>
    <mergeCell ref="N18:Q18"/>
    <mergeCell ref="J19:M19"/>
    <mergeCell ref="N19:Q19"/>
    <mergeCell ref="J21:M21"/>
    <mergeCell ref="N21:Q21"/>
    <mergeCell ref="J22:M22"/>
    <mergeCell ref="N22:Q22"/>
    <mergeCell ref="J20:M20"/>
    <mergeCell ref="N20:Q20"/>
    <mergeCell ref="A32:D32"/>
    <mergeCell ref="E32:H32"/>
    <mergeCell ref="J32:M32"/>
    <mergeCell ref="N32:Q32"/>
    <mergeCell ref="A33:D33"/>
    <mergeCell ref="E33:H33"/>
    <mergeCell ref="J33:M33"/>
    <mergeCell ref="N33:Q33"/>
    <mergeCell ref="A29:H29"/>
    <mergeCell ref="J29:Q29"/>
    <mergeCell ref="A30:H30"/>
    <mergeCell ref="J30:Q30"/>
    <mergeCell ref="A31:D31"/>
    <mergeCell ref="E31:H31"/>
    <mergeCell ref="J31:M31"/>
    <mergeCell ref="N31:Q31"/>
    <mergeCell ref="A36:D36"/>
    <mergeCell ref="E36:H36"/>
    <mergeCell ref="J36:M36"/>
    <mergeCell ref="N36:Q36"/>
    <mergeCell ref="A37:D37"/>
    <mergeCell ref="E37:H37"/>
    <mergeCell ref="J37:M37"/>
    <mergeCell ref="N37:Q37"/>
    <mergeCell ref="J34:M34"/>
    <mergeCell ref="E34:H34"/>
    <mergeCell ref="N34:Q34"/>
    <mergeCell ref="A35:D35"/>
    <mergeCell ref="E35:H35"/>
    <mergeCell ref="N35:Q35"/>
    <mergeCell ref="J35:M35"/>
    <mergeCell ref="A34:D34"/>
    <mergeCell ref="A40:D40"/>
    <mergeCell ref="E40:H40"/>
    <mergeCell ref="J40:M40"/>
    <mergeCell ref="N40:Q40"/>
    <mergeCell ref="A41:D41"/>
    <mergeCell ref="E41:H41"/>
    <mergeCell ref="J41:M41"/>
    <mergeCell ref="N41:Q41"/>
    <mergeCell ref="A38:D38"/>
    <mergeCell ref="E38:H38"/>
    <mergeCell ref="N38:Q38"/>
    <mergeCell ref="J38:M38"/>
    <mergeCell ref="A39:D39"/>
    <mergeCell ref="E39:H39"/>
    <mergeCell ref="J39:M39"/>
    <mergeCell ref="N39:Q39"/>
    <mergeCell ref="N45:Q45"/>
    <mergeCell ref="A42:D42"/>
    <mergeCell ref="E42:H42"/>
    <mergeCell ref="J42:M42"/>
    <mergeCell ref="N42:Q42"/>
    <mergeCell ref="A43:D43"/>
    <mergeCell ref="E43:H43"/>
    <mergeCell ref="J43:M43"/>
    <mergeCell ref="N43:Q43"/>
    <mergeCell ref="A46:D46"/>
    <mergeCell ref="E46:H46"/>
    <mergeCell ref="J46:M46"/>
    <mergeCell ref="N46:Q46"/>
    <mergeCell ref="A47:D47"/>
    <mergeCell ref="E47:H47"/>
    <mergeCell ref="J47:M47"/>
    <mergeCell ref="N47:Q47"/>
    <mergeCell ref="I29:I54"/>
    <mergeCell ref="A54:D54"/>
    <mergeCell ref="E54:H54"/>
    <mergeCell ref="J54:M54"/>
    <mergeCell ref="N54:Q54"/>
    <mergeCell ref="A52:D52"/>
    <mergeCell ref="E52:H52"/>
    <mergeCell ref="J52:M52"/>
    <mergeCell ref="N52:Q52"/>
    <mergeCell ref="A44:D44"/>
    <mergeCell ref="E44:H44"/>
    <mergeCell ref="J44:M44"/>
    <mergeCell ref="N44:Q44"/>
    <mergeCell ref="A45:D45"/>
    <mergeCell ref="E45:H45"/>
    <mergeCell ref="J45:M45"/>
    <mergeCell ref="A48:D48"/>
    <mergeCell ref="A53:D53"/>
    <mergeCell ref="E53:H53"/>
    <mergeCell ref="J53:M53"/>
    <mergeCell ref="N53:Q53"/>
    <mergeCell ref="A50:D50"/>
    <mergeCell ref="E50:H50"/>
    <mergeCell ref="J50:M50"/>
    <mergeCell ref="N50:Q50"/>
    <mergeCell ref="A51:D51"/>
    <mergeCell ref="E51:H51"/>
    <mergeCell ref="J51:M51"/>
    <mergeCell ref="N51:Q51"/>
    <mergeCell ref="E48:H48"/>
    <mergeCell ref="J48:M48"/>
    <mergeCell ref="N48:Q48"/>
    <mergeCell ref="A49:D49"/>
    <mergeCell ref="E49:H49"/>
    <mergeCell ref="J49:M49"/>
    <mergeCell ref="N49:Q49"/>
    <mergeCell ref="A56:H56"/>
    <mergeCell ref="I56:I81"/>
    <mergeCell ref="J56:Q56"/>
    <mergeCell ref="A57:H57"/>
    <mergeCell ref="J57:Q57"/>
    <mergeCell ref="A58:D58"/>
    <mergeCell ref="E58:H58"/>
    <mergeCell ref="J58:M58"/>
    <mergeCell ref="N58:Q58"/>
    <mergeCell ref="A59:D59"/>
    <mergeCell ref="E59:H59"/>
    <mergeCell ref="J59:M59"/>
    <mergeCell ref="N59:Q59"/>
    <mergeCell ref="A60:D60"/>
    <mergeCell ref="E60:H60"/>
    <mergeCell ref="J60:M60"/>
    <mergeCell ref="N60:Q60"/>
    <mergeCell ref="A61:D61"/>
    <mergeCell ref="E61:H61"/>
    <mergeCell ref="J61:M61"/>
    <mergeCell ref="N61:Q61"/>
    <mergeCell ref="A62:D62"/>
    <mergeCell ref="E62:H62"/>
    <mergeCell ref="J62:M62"/>
    <mergeCell ref="N62:Q62"/>
    <mergeCell ref="A63:D63"/>
    <mergeCell ref="E63:H63"/>
    <mergeCell ref="J63:M63"/>
    <mergeCell ref="N63:Q63"/>
    <mergeCell ref="A64:D64"/>
    <mergeCell ref="E64:H64"/>
    <mergeCell ref="J64:M64"/>
    <mergeCell ref="N64:Q64"/>
    <mergeCell ref="A65:D65"/>
    <mergeCell ref="E65:H65"/>
    <mergeCell ref="J65:M65"/>
    <mergeCell ref="N65:Q65"/>
    <mergeCell ref="A66:D66"/>
    <mergeCell ref="E66:H66"/>
    <mergeCell ref="J66:M66"/>
    <mergeCell ref="N66:Q66"/>
    <mergeCell ref="A67:D67"/>
    <mergeCell ref="E67:H67"/>
    <mergeCell ref="J67:M67"/>
    <mergeCell ref="N67:Q67"/>
    <mergeCell ref="A68:D68"/>
    <mergeCell ref="E68:H68"/>
    <mergeCell ref="J68:M68"/>
    <mergeCell ref="N68:Q68"/>
    <mergeCell ref="A69:D69"/>
    <mergeCell ref="E69:H69"/>
    <mergeCell ref="J69:M69"/>
    <mergeCell ref="N69:Q69"/>
    <mergeCell ref="A70:D70"/>
    <mergeCell ref="E70:H70"/>
    <mergeCell ref="J70:M70"/>
    <mergeCell ref="N70:Q70"/>
    <mergeCell ref="A71:D71"/>
    <mergeCell ref="E71:H71"/>
    <mergeCell ref="J71:M71"/>
    <mergeCell ref="N71:Q71"/>
    <mergeCell ref="A72:D72"/>
    <mergeCell ref="E72:H72"/>
    <mergeCell ref="J72:M72"/>
    <mergeCell ref="N72:Q72"/>
    <mergeCell ref="A73:D73"/>
    <mergeCell ref="E73:H73"/>
    <mergeCell ref="J73:M73"/>
    <mergeCell ref="N73:Q73"/>
    <mergeCell ref="A74:D74"/>
    <mergeCell ref="E74:H74"/>
    <mergeCell ref="J74:M74"/>
    <mergeCell ref="N74:Q74"/>
    <mergeCell ref="A75:D75"/>
    <mergeCell ref="E75:H75"/>
    <mergeCell ref="J75:M75"/>
    <mergeCell ref="N75:Q75"/>
    <mergeCell ref="A76:D76"/>
    <mergeCell ref="E76:H76"/>
    <mergeCell ref="J76:M76"/>
    <mergeCell ref="N76:Q76"/>
    <mergeCell ref="A80:D80"/>
    <mergeCell ref="E80:H80"/>
    <mergeCell ref="J80:M80"/>
    <mergeCell ref="N80:Q80"/>
    <mergeCell ref="A81:D81"/>
    <mergeCell ref="E81:H81"/>
    <mergeCell ref="J81:M81"/>
    <mergeCell ref="N81:Q81"/>
    <mergeCell ref="A77:D77"/>
    <mergeCell ref="E77:H77"/>
    <mergeCell ref="J77:M77"/>
    <mergeCell ref="N77:Q77"/>
    <mergeCell ref="A78:D78"/>
    <mergeCell ref="E78:H78"/>
    <mergeCell ref="J78:M78"/>
    <mergeCell ref="N78:Q78"/>
    <mergeCell ref="A79:D79"/>
    <mergeCell ref="E79:H79"/>
    <mergeCell ref="J79:M79"/>
    <mergeCell ref="N79:Q79"/>
    <mergeCell ref="A83:H83"/>
    <mergeCell ref="I83:I108"/>
    <mergeCell ref="J83:Q83"/>
    <mergeCell ref="A84:H84"/>
    <mergeCell ref="J84:Q84"/>
    <mergeCell ref="A85:D85"/>
    <mergeCell ref="E85:H85"/>
    <mergeCell ref="J85:M85"/>
    <mergeCell ref="N85:Q85"/>
    <mergeCell ref="A86:D86"/>
    <mergeCell ref="E86:H86"/>
    <mergeCell ref="J86:M86"/>
    <mergeCell ref="N86:Q86"/>
    <mergeCell ref="A87:D87"/>
    <mergeCell ref="E87:H87"/>
    <mergeCell ref="J87:M87"/>
    <mergeCell ref="N87:Q87"/>
    <mergeCell ref="A88:D88"/>
    <mergeCell ref="E88:H88"/>
    <mergeCell ref="J88:M88"/>
    <mergeCell ref="N88:Q88"/>
    <mergeCell ref="A89:D89"/>
    <mergeCell ref="E89:H89"/>
    <mergeCell ref="J89:M89"/>
    <mergeCell ref="N89:Q89"/>
    <mergeCell ref="A90:D90"/>
    <mergeCell ref="E90:H90"/>
    <mergeCell ref="J90:M90"/>
    <mergeCell ref="N90:Q90"/>
    <mergeCell ref="A91:D91"/>
    <mergeCell ref="E91:H91"/>
    <mergeCell ref="J91:M91"/>
    <mergeCell ref="N91:Q91"/>
    <mergeCell ref="A92:D92"/>
    <mergeCell ref="E92:H92"/>
    <mergeCell ref="J92:M92"/>
    <mergeCell ref="N92:Q92"/>
    <mergeCell ref="A93:D93"/>
    <mergeCell ref="E93:H93"/>
    <mergeCell ref="J93:M93"/>
    <mergeCell ref="N93:Q93"/>
    <mergeCell ref="A94:D94"/>
    <mergeCell ref="E94:H94"/>
    <mergeCell ref="J94:M94"/>
    <mergeCell ref="N94:Q94"/>
    <mergeCell ref="A95:D95"/>
    <mergeCell ref="E95:H95"/>
    <mergeCell ref="J95:M95"/>
    <mergeCell ref="N95:Q95"/>
    <mergeCell ref="A96:D96"/>
    <mergeCell ref="E96:H96"/>
    <mergeCell ref="J96:M96"/>
    <mergeCell ref="N96:Q96"/>
    <mergeCell ref="A97:D97"/>
    <mergeCell ref="E97:H97"/>
    <mergeCell ref="J97:M97"/>
    <mergeCell ref="N97:Q97"/>
    <mergeCell ref="A98:D98"/>
    <mergeCell ref="E98:H98"/>
    <mergeCell ref="J98:M98"/>
    <mergeCell ref="N98:Q98"/>
    <mergeCell ref="A99:D99"/>
    <mergeCell ref="E99:H99"/>
    <mergeCell ref="J99:M99"/>
    <mergeCell ref="N99:Q99"/>
    <mergeCell ref="A100:D100"/>
    <mergeCell ref="E100:H100"/>
    <mergeCell ref="J100:M100"/>
    <mergeCell ref="N100:Q100"/>
    <mergeCell ref="A101:D101"/>
    <mergeCell ref="E101:H101"/>
    <mergeCell ref="J101:M101"/>
    <mergeCell ref="N101:Q101"/>
    <mergeCell ref="A102:D102"/>
    <mergeCell ref="E102:H102"/>
    <mergeCell ref="J102:M102"/>
    <mergeCell ref="N102:Q102"/>
    <mergeCell ref="A103:D103"/>
    <mergeCell ref="E103:H103"/>
    <mergeCell ref="J103:M103"/>
    <mergeCell ref="N103:Q103"/>
    <mergeCell ref="A107:D107"/>
    <mergeCell ref="E107:H107"/>
    <mergeCell ref="J107:M107"/>
    <mergeCell ref="N107:Q107"/>
    <mergeCell ref="A108:D108"/>
    <mergeCell ref="E108:H108"/>
    <mergeCell ref="J108:M108"/>
    <mergeCell ref="N108:Q108"/>
    <mergeCell ref="A104:D104"/>
    <mergeCell ref="E104:H104"/>
    <mergeCell ref="J104:M104"/>
    <mergeCell ref="N104:Q104"/>
    <mergeCell ref="A105:D105"/>
    <mergeCell ref="E105:H105"/>
    <mergeCell ref="J105:M105"/>
    <mergeCell ref="N105:Q105"/>
    <mergeCell ref="A106:D106"/>
    <mergeCell ref="E106:H106"/>
    <mergeCell ref="J106:M106"/>
    <mergeCell ref="N106:Q106"/>
    <mergeCell ref="A110:H110"/>
    <mergeCell ref="I110:I135"/>
    <mergeCell ref="J110:Q110"/>
    <mergeCell ref="A111:H111"/>
    <mergeCell ref="J111:Q111"/>
    <mergeCell ref="A112:D112"/>
    <mergeCell ref="E112:H112"/>
    <mergeCell ref="J112:M112"/>
    <mergeCell ref="N112:Q112"/>
    <mergeCell ref="A113:D113"/>
    <mergeCell ref="E113:H113"/>
    <mergeCell ref="J113:M113"/>
    <mergeCell ref="N113:Q113"/>
    <mergeCell ref="A114:D114"/>
    <mergeCell ref="E114:H114"/>
    <mergeCell ref="J114:M114"/>
    <mergeCell ref="N114:Q114"/>
    <mergeCell ref="A115:D115"/>
    <mergeCell ref="E115:H115"/>
    <mergeCell ref="J115:M115"/>
    <mergeCell ref="N115:Q115"/>
    <mergeCell ref="A116:D116"/>
    <mergeCell ref="E116:H116"/>
    <mergeCell ref="J116:M116"/>
    <mergeCell ref="N116:Q116"/>
    <mergeCell ref="A117:D117"/>
    <mergeCell ref="E117:H117"/>
    <mergeCell ref="J117:M117"/>
    <mergeCell ref="N117:Q117"/>
    <mergeCell ref="A118:D118"/>
    <mergeCell ref="E118:H118"/>
    <mergeCell ref="J118:M118"/>
    <mergeCell ref="N118:Q118"/>
    <mergeCell ref="A119:D119"/>
    <mergeCell ref="E119:H119"/>
    <mergeCell ref="J119:M119"/>
    <mergeCell ref="N119:Q119"/>
    <mergeCell ref="A120:D120"/>
    <mergeCell ref="E120:H120"/>
    <mergeCell ref="J120:M120"/>
    <mergeCell ref="N120:Q120"/>
    <mergeCell ref="A121:D121"/>
    <mergeCell ref="E121:H121"/>
    <mergeCell ref="J121:M121"/>
    <mergeCell ref="N121:Q121"/>
    <mergeCell ref="A122:D122"/>
    <mergeCell ref="E122:H122"/>
    <mergeCell ref="J122:M122"/>
    <mergeCell ref="N122:Q122"/>
    <mergeCell ref="A123:D123"/>
    <mergeCell ref="E123:H123"/>
    <mergeCell ref="J123:M123"/>
    <mergeCell ref="N123:Q123"/>
    <mergeCell ref="A124:D124"/>
    <mergeCell ref="E124:H124"/>
    <mergeCell ref="J124:M124"/>
    <mergeCell ref="N124:Q124"/>
    <mergeCell ref="A125:D125"/>
    <mergeCell ref="E125:H125"/>
    <mergeCell ref="J125:M125"/>
    <mergeCell ref="N125:Q125"/>
    <mergeCell ref="A126:D126"/>
    <mergeCell ref="E126:H126"/>
    <mergeCell ref="J126:M126"/>
    <mergeCell ref="N126:Q126"/>
    <mergeCell ref="A127:D127"/>
    <mergeCell ref="E127:H127"/>
    <mergeCell ref="J127:M127"/>
    <mergeCell ref="N127:Q127"/>
    <mergeCell ref="A128:D128"/>
    <mergeCell ref="E128:H128"/>
    <mergeCell ref="J128:M128"/>
    <mergeCell ref="N128:Q128"/>
    <mergeCell ref="A129:D129"/>
    <mergeCell ref="E129:H129"/>
    <mergeCell ref="J129:M129"/>
    <mergeCell ref="N129:Q129"/>
    <mergeCell ref="A130:D130"/>
    <mergeCell ref="E130:H130"/>
    <mergeCell ref="J130:M130"/>
    <mergeCell ref="N130:Q130"/>
    <mergeCell ref="A134:D134"/>
    <mergeCell ref="E134:H134"/>
    <mergeCell ref="J134:M134"/>
    <mergeCell ref="N134:Q134"/>
    <mergeCell ref="A135:D135"/>
    <mergeCell ref="E135:H135"/>
    <mergeCell ref="J135:M135"/>
    <mergeCell ref="N135:Q135"/>
    <mergeCell ref="A131:D131"/>
    <mergeCell ref="E131:H131"/>
    <mergeCell ref="J131:M131"/>
    <mergeCell ref="N131:Q131"/>
    <mergeCell ref="A132:D132"/>
    <mergeCell ref="E132:H132"/>
    <mergeCell ref="J132:M132"/>
    <mergeCell ref="N132:Q132"/>
    <mergeCell ref="A133:D133"/>
    <mergeCell ref="E133:H133"/>
    <mergeCell ref="J133:M133"/>
    <mergeCell ref="N133:Q133"/>
    <mergeCell ref="A137:H137"/>
    <mergeCell ref="I137:I162"/>
    <mergeCell ref="J137:Q137"/>
    <mergeCell ref="A138:H138"/>
    <mergeCell ref="J138:Q138"/>
    <mergeCell ref="A139:D139"/>
    <mergeCell ref="E139:H139"/>
    <mergeCell ref="J139:M139"/>
    <mergeCell ref="N139:Q139"/>
    <mergeCell ref="A140:D140"/>
    <mergeCell ref="E140:H140"/>
    <mergeCell ref="J140:M140"/>
    <mergeCell ref="N140:Q140"/>
    <mergeCell ref="A141:D141"/>
    <mergeCell ref="E141:H141"/>
    <mergeCell ref="J141:M141"/>
    <mergeCell ref="N141:Q141"/>
    <mergeCell ref="A142:D142"/>
    <mergeCell ref="E142:H142"/>
    <mergeCell ref="J142:M142"/>
    <mergeCell ref="N142:Q142"/>
    <mergeCell ref="A143:D143"/>
    <mergeCell ref="E143:H143"/>
    <mergeCell ref="J143:M143"/>
    <mergeCell ref="N143:Q143"/>
    <mergeCell ref="A144:D144"/>
    <mergeCell ref="E144:H144"/>
    <mergeCell ref="J144:M144"/>
    <mergeCell ref="N144:Q144"/>
    <mergeCell ref="A145:D145"/>
    <mergeCell ref="E145:H145"/>
    <mergeCell ref="J145:M145"/>
    <mergeCell ref="N145:Q145"/>
    <mergeCell ref="A146:D146"/>
    <mergeCell ref="E146:H146"/>
    <mergeCell ref="J146:M146"/>
    <mergeCell ref="N146:Q146"/>
    <mergeCell ref="A147:D147"/>
    <mergeCell ref="E147:H147"/>
    <mergeCell ref="J147:M147"/>
    <mergeCell ref="N147:Q147"/>
    <mergeCell ref="A148:D148"/>
    <mergeCell ref="E148:H148"/>
    <mergeCell ref="J148:M148"/>
    <mergeCell ref="N148:Q148"/>
    <mergeCell ref="A149:D149"/>
    <mergeCell ref="E149:H149"/>
    <mergeCell ref="J149:M149"/>
    <mergeCell ref="N149:Q149"/>
    <mergeCell ref="A150:D150"/>
    <mergeCell ref="E150:H150"/>
    <mergeCell ref="J150:M150"/>
    <mergeCell ref="N150:Q150"/>
    <mergeCell ref="A151:D151"/>
    <mergeCell ref="E151:H151"/>
    <mergeCell ref="J151:M151"/>
    <mergeCell ref="N151:Q151"/>
    <mergeCell ref="A152:D152"/>
    <mergeCell ref="E152:H152"/>
    <mergeCell ref="J152:M152"/>
    <mergeCell ref="N152:Q152"/>
    <mergeCell ref="A153:D153"/>
    <mergeCell ref="E153:H153"/>
    <mergeCell ref="J153:M153"/>
    <mergeCell ref="N153:Q153"/>
    <mergeCell ref="A154:D154"/>
    <mergeCell ref="E154:H154"/>
    <mergeCell ref="J154:M154"/>
    <mergeCell ref="N154:Q154"/>
    <mergeCell ref="A155:D155"/>
    <mergeCell ref="E155:H155"/>
    <mergeCell ref="J155:M155"/>
    <mergeCell ref="N155:Q155"/>
    <mergeCell ref="A156:D156"/>
    <mergeCell ref="E156:H156"/>
    <mergeCell ref="J156:M156"/>
    <mergeCell ref="N156:Q156"/>
    <mergeCell ref="A157:D157"/>
    <mergeCell ref="E157:H157"/>
    <mergeCell ref="J157:M157"/>
    <mergeCell ref="N157:Q157"/>
    <mergeCell ref="A161:D161"/>
    <mergeCell ref="E161:H161"/>
    <mergeCell ref="J161:M161"/>
    <mergeCell ref="N161:Q161"/>
    <mergeCell ref="A162:D162"/>
    <mergeCell ref="E162:H162"/>
    <mergeCell ref="J162:M162"/>
    <mergeCell ref="N162:Q162"/>
    <mergeCell ref="A158:D158"/>
    <mergeCell ref="E158:H158"/>
    <mergeCell ref="J158:M158"/>
    <mergeCell ref="N158:Q158"/>
    <mergeCell ref="A159:D159"/>
    <mergeCell ref="E159:H159"/>
    <mergeCell ref="J159:M159"/>
    <mergeCell ref="N159:Q159"/>
    <mergeCell ref="A160:D160"/>
    <mergeCell ref="E160:H160"/>
    <mergeCell ref="J160:M160"/>
    <mergeCell ref="N160:Q160"/>
    <mergeCell ref="A164:H164"/>
    <mergeCell ref="I164:I189"/>
    <mergeCell ref="J164:Q164"/>
    <mergeCell ref="A165:H165"/>
    <mergeCell ref="J165:Q165"/>
    <mergeCell ref="A166:D166"/>
    <mergeCell ref="E166:H166"/>
    <mergeCell ref="J166:M166"/>
    <mergeCell ref="N166:Q166"/>
    <mergeCell ref="A167:D167"/>
    <mergeCell ref="E167:H167"/>
    <mergeCell ref="J167:M167"/>
    <mergeCell ref="N167:Q167"/>
    <mergeCell ref="A168:D168"/>
    <mergeCell ref="E168:H168"/>
    <mergeCell ref="J168:M168"/>
    <mergeCell ref="N168:Q168"/>
    <mergeCell ref="A169:D169"/>
    <mergeCell ref="E169:H169"/>
    <mergeCell ref="J169:M169"/>
    <mergeCell ref="N169:Q169"/>
    <mergeCell ref="A170:D170"/>
    <mergeCell ref="E170:H170"/>
    <mergeCell ref="J170:M170"/>
    <mergeCell ref="N170:Q170"/>
    <mergeCell ref="A171:D171"/>
    <mergeCell ref="E171:H171"/>
    <mergeCell ref="J171:M171"/>
    <mergeCell ref="N171:Q171"/>
    <mergeCell ref="A172:D172"/>
    <mergeCell ref="E172:H172"/>
    <mergeCell ref="J172:M172"/>
    <mergeCell ref="N172:Q172"/>
    <mergeCell ref="A173:D173"/>
    <mergeCell ref="E173:H173"/>
    <mergeCell ref="J173:M173"/>
    <mergeCell ref="N173:Q173"/>
    <mergeCell ref="A174:D174"/>
    <mergeCell ref="E174:H174"/>
    <mergeCell ref="J174:M174"/>
    <mergeCell ref="N174:Q174"/>
    <mergeCell ref="A175:D175"/>
    <mergeCell ref="E175:H175"/>
    <mergeCell ref="J175:M175"/>
    <mergeCell ref="N175:Q175"/>
    <mergeCell ref="A176:D176"/>
    <mergeCell ref="E176:H176"/>
    <mergeCell ref="J176:M176"/>
    <mergeCell ref="N176:Q176"/>
    <mergeCell ref="A177:D177"/>
    <mergeCell ref="E177:H177"/>
    <mergeCell ref="J177:M177"/>
    <mergeCell ref="N177:Q177"/>
    <mergeCell ref="A178:D178"/>
    <mergeCell ref="E178:H178"/>
    <mergeCell ref="J178:M178"/>
    <mergeCell ref="N178:Q178"/>
    <mergeCell ref="A182:D182"/>
    <mergeCell ref="E182:H182"/>
    <mergeCell ref="J179:M179"/>
    <mergeCell ref="N182:Q182"/>
    <mergeCell ref="A183:D183"/>
    <mergeCell ref="E183:H183"/>
    <mergeCell ref="J183:M183"/>
    <mergeCell ref="N183:Q183"/>
    <mergeCell ref="A184:D184"/>
    <mergeCell ref="E184:H184"/>
    <mergeCell ref="J184:M184"/>
    <mergeCell ref="N184:Q184"/>
    <mergeCell ref="J182:M182"/>
    <mergeCell ref="A179:D179"/>
    <mergeCell ref="E179:H179"/>
    <mergeCell ref="N179:Q179"/>
    <mergeCell ref="A180:D180"/>
    <mergeCell ref="E180:H180"/>
    <mergeCell ref="J180:M180"/>
    <mergeCell ref="N180:Q180"/>
    <mergeCell ref="A181:D181"/>
    <mergeCell ref="E181:H181"/>
    <mergeCell ref="J181:M181"/>
    <mergeCell ref="N181:Q181"/>
    <mergeCell ref="A188:D188"/>
    <mergeCell ref="E188:H188"/>
    <mergeCell ref="J188:M188"/>
    <mergeCell ref="N188:Q188"/>
    <mergeCell ref="A189:D189"/>
    <mergeCell ref="E189:H189"/>
    <mergeCell ref="J189:M189"/>
    <mergeCell ref="N189:Q189"/>
    <mergeCell ref="A185:D185"/>
    <mergeCell ref="E185:H185"/>
    <mergeCell ref="J185:M185"/>
    <mergeCell ref="N185:Q185"/>
    <mergeCell ref="A186:D186"/>
    <mergeCell ref="E186:H186"/>
    <mergeCell ref="J186:M186"/>
    <mergeCell ref="N186:Q186"/>
    <mergeCell ref="A187:D187"/>
    <mergeCell ref="E187:H187"/>
    <mergeCell ref="J187:M187"/>
    <mergeCell ref="N187:Q187"/>
  </mergeCells>
  <printOptions horizontalCentered="1" verticalCentered="1"/>
  <pageMargins left="0.43307086614173229" right="0.43307086614173229" top="0.55118110236220474" bottom="0.55118110236220474" header="0.31496062992125984" footer="0.31496062992125984"/>
  <pageSetup paperSize="9" scale="4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opLeftCell="A10" workbookViewId="0">
      <selection activeCell="B3" sqref="B3:F3"/>
    </sheetView>
  </sheetViews>
  <sheetFormatPr defaultRowHeight="21" x14ac:dyDescent="0.55000000000000004"/>
  <cols>
    <col min="1" max="1" width="14.6640625" bestFit="1" customWidth="1"/>
    <col min="2" max="2" width="11.6640625" bestFit="1" customWidth="1"/>
    <col min="3" max="3" width="11.33203125" bestFit="1" customWidth="1"/>
    <col min="4" max="4" width="12.6640625" bestFit="1" customWidth="1"/>
    <col min="5" max="5" width="10" bestFit="1" customWidth="1"/>
    <col min="6" max="6" width="13.33203125" customWidth="1"/>
  </cols>
  <sheetData>
    <row r="1" spans="1:6" ht="33.75" x14ac:dyDescent="0.9">
      <c r="A1" s="263" t="s">
        <v>60</v>
      </c>
      <c r="B1" s="264"/>
      <c r="C1" s="264"/>
      <c r="D1" s="264"/>
      <c r="E1" s="145" t="s">
        <v>67</v>
      </c>
      <c r="F1" s="144"/>
    </row>
    <row r="2" spans="1:6" x14ac:dyDescent="0.55000000000000004">
      <c r="A2" s="134" t="s">
        <v>311</v>
      </c>
      <c r="B2" s="188"/>
      <c r="C2" s="188"/>
      <c r="D2" s="188"/>
      <c r="E2" s="134" t="s">
        <v>3</v>
      </c>
      <c r="F2" s="134"/>
    </row>
    <row r="3" spans="1:6" x14ac:dyDescent="0.55000000000000004">
      <c r="A3" s="134" t="s">
        <v>312</v>
      </c>
      <c r="B3" s="188"/>
      <c r="C3" s="188"/>
      <c r="D3" s="188"/>
      <c r="E3" s="188"/>
      <c r="F3" s="188"/>
    </row>
    <row r="4" spans="1:6" x14ac:dyDescent="0.55000000000000004">
      <c r="A4" s="134" t="s">
        <v>313</v>
      </c>
      <c r="B4" s="134"/>
      <c r="C4" s="134" t="s">
        <v>314</v>
      </c>
      <c r="D4" s="134"/>
      <c r="E4" s="134" t="s">
        <v>315</v>
      </c>
      <c r="F4" s="134"/>
    </row>
    <row r="5" spans="1:6" x14ac:dyDescent="0.55000000000000004">
      <c r="A5" s="134" t="s">
        <v>316</v>
      </c>
      <c r="B5" s="134"/>
      <c r="C5" s="134" t="s">
        <v>317</v>
      </c>
      <c r="D5" s="134"/>
      <c r="E5" s="134" t="s">
        <v>318</v>
      </c>
      <c r="F5" s="134"/>
    </row>
    <row r="6" spans="1:6" x14ac:dyDescent="0.55000000000000004">
      <c r="A6" s="134" t="s">
        <v>319</v>
      </c>
      <c r="B6" s="134"/>
      <c r="C6" s="188" t="s">
        <v>320</v>
      </c>
      <c r="D6" s="188"/>
      <c r="E6" s="188"/>
      <c r="F6" s="134"/>
    </row>
    <row r="7" spans="1:6" x14ac:dyDescent="0.55000000000000004">
      <c r="A7" s="143" t="s">
        <v>321</v>
      </c>
      <c r="B7" s="143" t="s">
        <v>322</v>
      </c>
      <c r="C7" s="266" t="s">
        <v>323</v>
      </c>
      <c r="D7" s="266"/>
      <c r="E7" s="266" t="s">
        <v>324</v>
      </c>
      <c r="F7" s="266"/>
    </row>
    <row r="8" spans="1:6" x14ac:dyDescent="0.55000000000000004">
      <c r="A8" s="134"/>
      <c r="B8" s="134"/>
      <c r="C8" s="265"/>
      <c r="D8" s="265"/>
      <c r="E8" s="265"/>
      <c r="F8" s="265"/>
    </row>
    <row r="9" spans="1:6" x14ac:dyDescent="0.55000000000000004">
      <c r="A9" s="134"/>
      <c r="B9" s="134"/>
      <c r="C9" s="265"/>
      <c r="D9" s="265"/>
      <c r="E9" s="265"/>
      <c r="F9" s="265"/>
    </row>
    <row r="10" spans="1:6" x14ac:dyDescent="0.55000000000000004">
      <c r="A10" s="134"/>
      <c r="B10" s="134"/>
      <c r="C10" s="265"/>
      <c r="D10" s="265"/>
      <c r="E10" s="265"/>
      <c r="F10" s="265"/>
    </row>
    <row r="11" spans="1:6" x14ac:dyDescent="0.55000000000000004">
      <c r="A11" s="134"/>
      <c r="B11" s="134"/>
      <c r="C11" s="265"/>
      <c r="D11" s="265"/>
      <c r="E11" s="265"/>
      <c r="F11" s="265"/>
    </row>
    <row r="12" spans="1:6" x14ac:dyDescent="0.55000000000000004">
      <c r="A12" s="134"/>
      <c r="B12" s="134"/>
      <c r="C12" s="265"/>
      <c r="D12" s="265"/>
      <c r="E12" s="265"/>
      <c r="F12" s="265"/>
    </row>
    <row r="13" spans="1:6" x14ac:dyDescent="0.55000000000000004">
      <c r="A13" s="143" t="s">
        <v>321</v>
      </c>
      <c r="B13" s="143" t="s">
        <v>325</v>
      </c>
      <c r="C13" s="266" t="s">
        <v>323</v>
      </c>
      <c r="D13" s="266"/>
      <c r="E13" s="266" t="s">
        <v>324</v>
      </c>
      <c r="F13" s="266"/>
    </row>
    <row r="14" spans="1:6" x14ac:dyDescent="0.55000000000000004">
      <c r="A14" s="134"/>
      <c r="B14" s="134"/>
      <c r="C14" s="265"/>
      <c r="D14" s="265"/>
      <c r="E14" s="265"/>
      <c r="F14" s="265"/>
    </row>
    <row r="15" spans="1:6" x14ac:dyDescent="0.55000000000000004">
      <c r="A15" s="134"/>
      <c r="B15" s="134"/>
      <c r="C15" s="265"/>
      <c r="D15" s="265"/>
      <c r="E15" s="265"/>
      <c r="F15" s="265"/>
    </row>
    <row r="16" spans="1:6" x14ac:dyDescent="0.55000000000000004">
      <c r="A16" s="134"/>
      <c r="B16" s="134"/>
      <c r="C16" s="265"/>
      <c r="D16" s="265"/>
      <c r="E16" s="265"/>
      <c r="F16" s="265"/>
    </row>
    <row r="17" spans="1:6" x14ac:dyDescent="0.55000000000000004">
      <c r="A17" s="134"/>
      <c r="B17" s="134"/>
      <c r="C17" s="265"/>
      <c r="D17" s="265"/>
      <c r="E17" s="265"/>
      <c r="F17" s="265"/>
    </row>
    <row r="18" spans="1:6" x14ac:dyDescent="0.55000000000000004">
      <c r="A18" s="134"/>
      <c r="B18" s="134"/>
      <c r="C18" s="265"/>
      <c r="D18" s="265"/>
      <c r="E18" s="265"/>
      <c r="F18" s="265"/>
    </row>
    <row r="19" spans="1:6" x14ac:dyDescent="0.55000000000000004">
      <c r="A19" s="134"/>
      <c r="B19" s="134"/>
      <c r="C19" s="265"/>
      <c r="D19" s="265"/>
      <c r="E19" s="265"/>
      <c r="F19" s="265"/>
    </row>
    <row r="20" spans="1:6" x14ac:dyDescent="0.55000000000000004">
      <c r="A20" s="134"/>
      <c r="B20" s="134"/>
      <c r="C20" s="265"/>
      <c r="D20" s="265"/>
      <c r="E20" s="265"/>
      <c r="F20" s="265"/>
    </row>
    <row r="21" spans="1:6" x14ac:dyDescent="0.55000000000000004">
      <c r="A21" s="134"/>
      <c r="B21" s="134"/>
      <c r="C21" s="265"/>
      <c r="D21" s="265"/>
      <c r="E21" s="265"/>
      <c r="F21" s="265"/>
    </row>
    <row r="22" spans="1:6" x14ac:dyDescent="0.55000000000000004">
      <c r="A22" s="143" t="s">
        <v>326</v>
      </c>
      <c r="B22" s="188"/>
      <c r="C22" s="188"/>
      <c r="D22" s="188"/>
      <c r="E22" s="188"/>
      <c r="F22" s="188"/>
    </row>
    <row r="23" spans="1:6" x14ac:dyDescent="0.55000000000000004">
      <c r="A23" s="143" t="s">
        <v>327</v>
      </c>
      <c r="B23" s="188"/>
      <c r="C23" s="188"/>
      <c r="D23" s="188"/>
      <c r="E23" s="188"/>
      <c r="F23" s="188"/>
    </row>
  </sheetData>
  <mergeCells count="36">
    <mergeCell ref="C6:E6"/>
    <mergeCell ref="E7:F7"/>
    <mergeCell ref="C7:D7"/>
    <mergeCell ref="B3:F3"/>
    <mergeCell ref="B2:D2"/>
    <mergeCell ref="E8:F8"/>
    <mergeCell ref="E9:F9"/>
    <mergeCell ref="E10:F10"/>
    <mergeCell ref="E11:F11"/>
    <mergeCell ref="E12:F12"/>
    <mergeCell ref="C8:D8"/>
    <mergeCell ref="C9:D9"/>
    <mergeCell ref="C10:D10"/>
    <mergeCell ref="C11:D11"/>
    <mergeCell ref="C12:D12"/>
    <mergeCell ref="E13:F13"/>
    <mergeCell ref="C14:D14"/>
    <mergeCell ref="E14:F14"/>
    <mergeCell ref="C15:D15"/>
    <mergeCell ref="E15:F15"/>
    <mergeCell ref="B22:F22"/>
    <mergeCell ref="B23:F23"/>
    <mergeCell ref="A1:D1"/>
    <mergeCell ref="C19:D19"/>
    <mergeCell ref="E19:F19"/>
    <mergeCell ref="C20:D20"/>
    <mergeCell ref="E20:F20"/>
    <mergeCell ref="C21:D21"/>
    <mergeCell ref="E21:F21"/>
    <mergeCell ref="C16:D16"/>
    <mergeCell ref="E16:F16"/>
    <mergeCell ref="C17:D17"/>
    <mergeCell ref="E17:F17"/>
    <mergeCell ref="C18:D18"/>
    <mergeCell ref="E18:F18"/>
    <mergeCell ref="C13:D1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4"/>
  <sheetViews>
    <sheetView topLeftCell="A62" workbookViewId="0">
      <selection activeCell="A44" sqref="A44:F68"/>
    </sheetView>
  </sheetViews>
  <sheetFormatPr defaultRowHeight="21" x14ac:dyDescent="0.55000000000000004"/>
  <cols>
    <col min="1" max="1" width="9.77734375" customWidth="1"/>
    <col min="2" max="2" width="20.21875" customWidth="1"/>
    <col min="3" max="3" width="17.6640625" customWidth="1"/>
    <col min="4" max="4" width="14.21875" bestFit="1" customWidth="1"/>
    <col min="5" max="5" width="20.6640625" customWidth="1"/>
    <col min="6" max="6" width="14.21875" bestFit="1" customWidth="1"/>
  </cols>
  <sheetData>
    <row r="1" spans="1:6" ht="28.5" thickBot="1" x14ac:dyDescent="0.6">
      <c r="A1" s="282" t="s">
        <v>194</v>
      </c>
      <c r="B1" s="282"/>
      <c r="C1" s="282"/>
      <c r="D1" s="282"/>
      <c r="E1" s="282"/>
      <c r="F1" s="282"/>
    </row>
    <row r="2" spans="1:6" x14ac:dyDescent="0.55000000000000004">
      <c r="A2" s="276" t="s">
        <v>195</v>
      </c>
      <c r="B2" s="277"/>
      <c r="C2" s="277"/>
      <c r="D2" s="277"/>
      <c r="E2" s="277"/>
      <c r="F2" s="278"/>
    </row>
    <row r="3" spans="1:6" ht="21.75" thickBot="1" x14ac:dyDescent="0.6">
      <c r="A3" s="283"/>
      <c r="B3" s="284"/>
      <c r="C3" s="284"/>
      <c r="D3" s="284"/>
      <c r="E3" s="284"/>
      <c r="F3" s="285"/>
    </row>
    <row r="4" spans="1:6" ht="29.25" thickBot="1" x14ac:dyDescent="0.6">
      <c r="A4" s="268" t="s">
        <v>434</v>
      </c>
      <c r="B4" s="269"/>
      <c r="C4" s="269"/>
      <c r="D4" s="269"/>
      <c r="E4" s="269"/>
      <c r="F4" s="270"/>
    </row>
    <row r="5" spans="1:6" ht="27" thickBot="1" x14ac:dyDescent="0.6">
      <c r="A5" s="105" t="s">
        <v>196</v>
      </c>
      <c r="B5" s="106" t="s">
        <v>197</v>
      </c>
      <c r="C5" s="105" t="s">
        <v>196</v>
      </c>
      <c r="D5" s="106" t="s">
        <v>197</v>
      </c>
      <c r="E5" s="105" t="s">
        <v>196</v>
      </c>
      <c r="F5" s="106" t="s">
        <v>197</v>
      </c>
    </row>
    <row r="6" spans="1:6" ht="26.25" x14ac:dyDescent="0.55000000000000004">
      <c r="A6" s="107">
        <v>1</v>
      </c>
      <c r="B6" s="108"/>
      <c r="C6" s="108">
        <v>31</v>
      </c>
      <c r="D6" s="108"/>
      <c r="E6" s="108">
        <v>61</v>
      </c>
      <c r="F6" s="108"/>
    </row>
    <row r="7" spans="1:6" ht="26.25" x14ac:dyDescent="0.55000000000000004">
      <c r="A7" s="110">
        <v>2</v>
      </c>
      <c r="B7" s="109"/>
      <c r="C7" s="109">
        <v>32</v>
      </c>
      <c r="D7" s="109"/>
      <c r="E7" s="109">
        <v>62</v>
      </c>
      <c r="F7" s="109"/>
    </row>
    <row r="8" spans="1:6" ht="26.25" x14ac:dyDescent="0.55000000000000004">
      <c r="A8" s="110">
        <v>3</v>
      </c>
      <c r="B8" s="109"/>
      <c r="C8" s="109">
        <v>33</v>
      </c>
      <c r="D8" s="109"/>
      <c r="E8" s="109">
        <v>63</v>
      </c>
      <c r="F8" s="109"/>
    </row>
    <row r="9" spans="1:6" ht="26.25" x14ac:dyDescent="0.55000000000000004">
      <c r="A9" s="110">
        <v>4</v>
      </c>
      <c r="B9" s="109"/>
      <c r="C9" s="109">
        <v>34</v>
      </c>
      <c r="D9" s="109"/>
      <c r="E9" s="109">
        <v>64</v>
      </c>
      <c r="F9" s="109"/>
    </row>
    <row r="10" spans="1:6" ht="26.25" x14ac:dyDescent="0.55000000000000004">
      <c r="A10" s="110">
        <v>5</v>
      </c>
      <c r="B10" s="109"/>
      <c r="C10" s="109">
        <v>35</v>
      </c>
      <c r="D10" s="109"/>
      <c r="E10" s="109">
        <v>65</v>
      </c>
      <c r="F10" s="109"/>
    </row>
    <row r="11" spans="1:6" ht="26.25" x14ac:dyDescent="0.55000000000000004">
      <c r="A11" s="110">
        <v>6</v>
      </c>
      <c r="B11" s="109"/>
      <c r="C11" s="109">
        <v>36</v>
      </c>
      <c r="D11" s="109"/>
      <c r="E11" s="109">
        <v>66</v>
      </c>
      <c r="F11" s="109"/>
    </row>
    <row r="12" spans="1:6" ht="26.25" x14ac:dyDescent="0.55000000000000004">
      <c r="A12" s="110">
        <v>7</v>
      </c>
      <c r="B12" s="109"/>
      <c r="C12" s="109">
        <v>37</v>
      </c>
      <c r="D12" s="109"/>
      <c r="E12" s="109">
        <v>67</v>
      </c>
      <c r="F12" s="109"/>
    </row>
    <row r="13" spans="1:6" ht="26.25" x14ac:dyDescent="0.55000000000000004">
      <c r="A13" s="110">
        <v>8</v>
      </c>
      <c r="B13" s="109"/>
      <c r="C13" s="109">
        <v>38</v>
      </c>
      <c r="D13" s="109"/>
      <c r="E13" s="109">
        <v>68</v>
      </c>
      <c r="F13" s="109"/>
    </row>
    <row r="14" spans="1:6" ht="26.25" x14ac:dyDescent="0.55000000000000004">
      <c r="A14" s="110">
        <v>9</v>
      </c>
      <c r="B14" s="109"/>
      <c r="C14" s="109">
        <v>39</v>
      </c>
      <c r="D14" s="109"/>
      <c r="E14" s="109">
        <v>69</v>
      </c>
      <c r="F14" s="109"/>
    </row>
    <row r="15" spans="1:6" ht="26.25" x14ac:dyDescent="0.55000000000000004">
      <c r="A15" s="110">
        <v>10</v>
      </c>
      <c r="B15" s="109"/>
      <c r="C15" s="109">
        <v>40</v>
      </c>
      <c r="D15" s="109"/>
      <c r="E15" s="109">
        <v>70</v>
      </c>
      <c r="F15" s="109"/>
    </row>
    <row r="16" spans="1:6" ht="26.25" x14ac:dyDescent="0.55000000000000004">
      <c r="A16" s="110">
        <v>11</v>
      </c>
      <c r="B16" s="109"/>
      <c r="C16" s="109">
        <v>41</v>
      </c>
      <c r="D16" s="109"/>
      <c r="E16" s="109">
        <v>71</v>
      </c>
      <c r="F16" s="109"/>
    </row>
    <row r="17" spans="1:6" ht="26.25" x14ac:dyDescent="0.55000000000000004">
      <c r="A17" s="110">
        <v>12</v>
      </c>
      <c r="B17" s="109"/>
      <c r="C17" s="109">
        <v>42</v>
      </c>
      <c r="D17" s="109"/>
      <c r="E17" s="109">
        <v>72</v>
      </c>
      <c r="F17" s="109"/>
    </row>
    <row r="18" spans="1:6" ht="26.25" x14ac:dyDescent="0.55000000000000004">
      <c r="A18" s="110">
        <v>13</v>
      </c>
      <c r="B18" s="109"/>
      <c r="C18" s="109">
        <v>43</v>
      </c>
      <c r="D18" s="109"/>
      <c r="E18" s="109">
        <v>73</v>
      </c>
      <c r="F18" s="109"/>
    </row>
    <row r="19" spans="1:6" ht="26.25" x14ac:dyDescent="0.55000000000000004">
      <c r="A19" s="110">
        <v>14</v>
      </c>
      <c r="B19" s="109"/>
      <c r="C19" s="109">
        <v>44</v>
      </c>
      <c r="D19" s="109"/>
      <c r="E19" s="109">
        <v>74</v>
      </c>
      <c r="F19" s="109"/>
    </row>
    <row r="20" spans="1:6" ht="26.25" x14ac:dyDescent="0.55000000000000004">
      <c r="A20" s="110">
        <v>15</v>
      </c>
      <c r="B20" s="109"/>
      <c r="C20" s="109">
        <v>45</v>
      </c>
      <c r="D20" s="109"/>
      <c r="E20" s="109">
        <v>75</v>
      </c>
      <c r="F20" s="109"/>
    </row>
    <row r="21" spans="1:6" ht="26.25" x14ac:dyDescent="0.55000000000000004">
      <c r="A21" s="110">
        <v>16</v>
      </c>
      <c r="B21" s="109"/>
      <c r="C21" s="109">
        <v>46</v>
      </c>
      <c r="D21" s="109"/>
      <c r="E21" s="109">
        <v>76</v>
      </c>
      <c r="F21" s="109"/>
    </row>
    <row r="22" spans="1:6" ht="26.25" x14ac:dyDescent="0.55000000000000004">
      <c r="A22" s="110">
        <v>17</v>
      </c>
      <c r="B22" s="109"/>
      <c r="C22" s="109">
        <v>47</v>
      </c>
      <c r="D22" s="109"/>
      <c r="E22" s="109">
        <v>77</v>
      </c>
      <c r="F22" s="109"/>
    </row>
    <row r="23" spans="1:6" ht="26.25" x14ac:dyDescent="0.55000000000000004">
      <c r="A23" s="110">
        <v>18</v>
      </c>
      <c r="B23" s="109"/>
      <c r="C23" s="109">
        <v>48</v>
      </c>
      <c r="D23" s="109"/>
      <c r="E23" s="109">
        <v>78</v>
      </c>
      <c r="F23" s="109"/>
    </row>
    <row r="24" spans="1:6" ht="26.25" x14ac:dyDescent="0.55000000000000004">
      <c r="A24" s="110">
        <v>19</v>
      </c>
      <c r="B24" s="109"/>
      <c r="C24" s="109">
        <v>49</v>
      </c>
      <c r="D24" s="109"/>
      <c r="E24" s="109">
        <v>79</v>
      </c>
      <c r="F24" s="109"/>
    </row>
    <row r="25" spans="1:6" ht="26.25" x14ac:dyDescent="0.55000000000000004">
      <c r="A25" s="110">
        <v>20</v>
      </c>
      <c r="B25" s="109"/>
      <c r="C25" s="109">
        <v>50</v>
      </c>
      <c r="D25" s="109"/>
      <c r="E25" s="109">
        <v>80</v>
      </c>
      <c r="F25" s="109"/>
    </row>
    <row r="26" spans="1:6" ht="26.25" x14ac:dyDescent="0.55000000000000004">
      <c r="A26" s="110">
        <v>21</v>
      </c>
      <c r="B26" s="109"/>
      <c r="C26" s="109">
        <v>51</v>
      </c>
      <c r="D26" s="109"/>
      <c r="E26" s="109">
        <v>81</v>
      </c>
      <c r="F26" s="109"/>
    </row>
    <row r="27" spans="1:6" ht="26.25" x14ac:dyDescent="0.55000000000000004">
      <c r="A27" s="110">
        <v>22</v>
      </c>
      <c r="B27" s="109"/>
      <c r="C27" s="109">
        <v>52</v>
      </c>
      <c r="D27" s="109"/>
      <c r="E27" s="109">
        <v>82</v>
      </c>
      <c r="F27" s="109"/>
    </row>
    <row r="28" spans="1:6" ht="26.25" x14ac:dyDescent="0.55000000000000004">
      <c r="A28" s="110">
        <v>23</v>
      </c>
      <c r="B28" s="109"/>
      <c r="C28" s="109">
        <v>53</v>
      </c>
      <c r="D28" s="109"/>
      <c r="E28" s="109">
        <v>83</v>
      </c>
      <c r="F28" s="109"/>
    </row>
    <row r="29" spans="1:6" ht="26.25" x14ac:dyDescent="0.55000000000000004">
      <c r="A29" s="110">
        <v>24</v>
      </c>
      <c r="B29" s="109"/>
      <c r="C29" s="109">
        <v>54</v>
      </c>
      <c r="D29" s="109"/>
      <c r="E29" s="109">
        <v>84</v>
      </c>
      <c r="F29" s="109"/>
    </row>
    <row r="30" spans="1:6" ht="26.25" x14ac:dyDescent="0.55000000000000004">
      <c r="A30" s="110">
        <v>25</v>
      </c>
      <c r="B30" s="109"/>
      <c r="C30" s="109">
        <v>55</v>
      </c>
      <c r="D30" s="109"/>
      <c r="E30" s="109">
        <v>85</v>
      </c>
      <c r="F30" s="109"/>
    </row>
    <row r="31" spans="1:6" ht="26.25" x14ac:dyDescent="0.55000000000000004">
      <c r="A31" s="110">
        <v>26</v>
      </c>
      <c r="B31" s="109"/>
      <c r="C31" s="109">
        <v>56</v>
      </c>
      <c r="D31" s="109"/>
      <c r="E31" s="109">
        <v>86</v>
      </c>
      <c r="F31" s="109"/>
    </row>
    <row r="32" spans="1:6" ht="26.25" x14ac:dyDescent="0.55000000000000004">
      <c r="A32" s="110">
        <v>27</v>
      </c>
      <c r="B32" s="109"/>
      <c r="C32" s="109">
        <v>57</v>
      </c>
      <c r="D32" s="109"/>
      <c r="E32" s="109">
        <v>87</v>
      </c>
      <c r="F32" s="109"/>
    </row>
    <row r="33" spans="1:6" ht="26.25" x14ac:dyDescent="0.55000000000000004">
      <c r="A33" s="110">
        <v>28</v>
      </c>
      <c r="B33" s="109"/>
      <c r="C33" s="109">
        <v>58</v>
      </c>
      <c r="D33" s="109"/>
      <c r="E33" s="109">
        <v>88</v>
      </c>
      <c r="F33" s="109"/>
    </row>
    <row r="34" spans="1:6" ht="26.25" x14ac:dyDescent="0.55000000000000004">
      <c r="A34" s="110">
        <v>29</v>
      </c>
      <c r="B34" s="109"/>
      <c r="C34" s="109">
        <v>59</v>
      </c>
      <c r="D34" s="109"/>
      <c r="E34" s="109">
        <v>89</v>
      </c>
      <c r="F34" s="109"/>
    </row>
    <row r="35" spans="1:6" ht="26.25" x14ac:dyDescent="0.55000000000000004">
      <c r="A35" s="110">
        <v>30</v>
      </c>
      <c r="B35" s="109"/>
      <c r="C35" s="109">
        <v>60</v>
      </c>
      <c r="D35" s="109"/>
      <c r="E35" s="109"/>
      <c r="F35" s="109"/>
    </row>
    <row r="36" spans="1:6" ht="28.5" x14ac:dyDescent="0.55000000000000004">
      <c r="A36" s="111" t="s">
        <v>200</v>
      </c>
      <c r="B36" s="112">
        <f>COUNTIF(B6:F35,"EMPTY-2")</f>
        <v>0</v>
      </c>
      <c r="C36" s="271"/>
      <c r="D36" s="271"/>
      <c r="E36" s="111" t="s">
        <v>201</v>
      </c>
      <c r="F36" s="112">
        <f>COUNTIF(B6:F35,"EMPTY-1")</f>
        <v>0</v>
      </c>
    </row>
    <row r="37" spans="1:6" ht="28.5" x14ac:dyDescent="0.75">
      <c r="A37" s="272" t="s">
        <v>202</v>
      </c>
      <c r="B37" s="272"/>
      <c r="C37" s="272"/>
      <c r="D37" s="272"/>
      <c r="E37" s="272"/>
      <c r="F37" s="113">
        <f>COUNTIF(B6:F35,"FULL BEAM-1")</f>
        <v>0</v>
      </c>
    </row>
    <row r="38" spans="1:6" ht="28.5" x14ac:dyDescent="0.55000000000000004">
      <c r="A38" s="273" t="s">
        <v>203</v>
      </c>
      <c r="B38" s="273"/>
      <c r="C38" s="114">
        <f>COUNTIF(B6:D35,"N.N.")</f>
        <v>0</v>
      </c>
      <c r="D38" s="273" t="s">
        <v>204</v>
      </c>
      <c r="E38" s="273"/>
      <c r="F38" s="114">
        <f>COUNTIF(F7:F35,"N.N.")</f>
        <v>0</v>
      </c>
    </row>
    <row r="39" spans="1:6" ht="28.5" x14ac:dyDescent="0.55000000000000004">
      <c r="A39" s="286" t="s">
        <v>205</v>
      </c>
      <c r="B39" s="286"/>
      <c r="C39" s="286"/>
      <c r="D39" s="286"/>
      <c r="E39" s="286"/>
      <c r="F39" s="115">
        <f>COUNTIF(B6:F35,"ARVIND")</f>
        <v>0</v>
      </c>
    </row>
    <row r="40" spans="1:6" ht="28.5" x14ac:dyDescent="0.6">
      <c r="A40" s="274" t="s">
        <v>206</v>
      </c>
      <c r="B40" s="274"/>
      <c r="C40" s="274"/>
      <c r="D40" s="274"/>
      <c r="E40" s="274"/>
      <c r="F40" s="116">
        <f>COUNTIF(B6:F35,"&gt;9000")</f>
        <v>0</v>
      </c>
    </row>
    <row r="41" spans="1:6" ht="33.75" x14ac:dyDescent="0.75">
      <c r="A41" s="287" t="s">
        <v>207</v>
      </c>
      <c r="B41" s="287"/>
      <c r="C41" s="287"/>
      <c r="D41" s="287"/>
      <c r="E41" s="287"/>
      <c r="F41" s="117">
        <f>COUNTIF(B6:F35,"FULL BEAM-2")</f>
        <v>0</v>
      </c>
    </row>
    <row r="42" spans="1:6" ht="33.75" x14ac:dyDescent="0.55000000000000004">
      <c r="A42" s="267" t="s">
        <v>208</v>
      </c>
      <c r="B42" s="267"/>
      <c r="C42" s="267"/>
      <c r="D42" s="267"/>
      <c r="E42" s="267"/>
      <c r="F42" s="118">
        <f>SUM(F36+F37+F38+F40+F41+B36+F39+C38)</f>
        <v>0</v>
      </c>
    </row>
    <row r="44" spans="1:6" ht="28.5" thickBot="1" x14ac:dyDescent="0.6">
      <c r="A44" s="282" t="s">
        <v>209</v>
      </c>
      <c r="B44" s="282"/>
      <c r="C44" s="282"/>
      <c r="D44" s="282"/>
      <c r="E44" s="282"/>
      <c r="F44" s="282"/>
    </row>
    <row r="45" spans="1:6" x14ac:dyDescent="0.55000000000000004">
      <c r="A45" s="276" t="s">
        <v>195</v>
      </c>
      <c r="B45" s="277"/>
      <c r="C45" s="277"/>
      <c r="D45" s="277"/>
      <c r="E45" s="277"/>
      <c r="F45" s="278"/>
    </row>
    <row r="46" spans="1:6" ht="21.75" thickBot="1" x14ac:dyDescent="0.6">
      <c r="A46" s="279"/>
      <c r="B46" s="280"/>
      <c r="C46" s="280"/>
      <c r="D46" s="280"/>
      <c r="E46" s="280"/>
      <c r="F46" s="281"/>
    </row>
    <row r="47" spans="1:6" ht="29.25" thickBot="1" x14ac:dyDescent="0.6">
      <c r="A47" s="268" t="s">
        <v>434</v>
      </c>
      <c r="B47" s="269"/>
      <c r="C47" s="269"/>
      <c r="D47" s="269"/>
      <c r="E47" s="269"/>
      <c r="F47" s="270"/>
    </row>
    <row r="48" spans="1:6" ht="26.25" x14ac:dyDescent="0.55000000000000004">
      <c r="A48" s="119" t="s">
        <v>196</v>
      </c>
      <c r="B48" s="120" t="s">
        <v>197</v>
      </c>
      <c r="C48" s="119" t="s">
        <v>196</v>
      </c>
      <c r="D48" s="120" t="s">
        <v>197</v>
      </c>
      <c r="E48" s="119" t="s">
        <v>196</v>
      </c>
      <c r="F48" s="120" t="s">
        <v>197</v>
      </c>
    </row>
    <row r="49" spans="1:6" ht="26.25" x14ac:dyDescent="0.55000000000000004">
      <c r="A49" s="121">
        <v>201</v>
      </c>
      <c r="B49" s="109"/>
      <c r="C49" s="121">
        <v>221</v>
      </c>
      <c r="D49" s="109"/>
      <c r="E49" s="121">
        <v>241</v>
      </c>
      <c r="F49" s="109"/>
    </row>
    <row r="50" spans="1:6" ht="26.25" x14ac:dyDescent="0.55000000000000004">
      <c r="A50" s="121">
        <v>202</v>
      </c>
      <c r="B50" s="109"/>
      <c r="C50" s="121">
        <v>222</v>
      </c>
      <c r="D50" s="109"/>
      <c r="E50" s="121">
        <v>242</v>
      </c>
      <c r="F50" s="109"/>
    </row>
    <row r="51" spans="1:6" ht="26.25" x14ac:dyDescent="0.55000000000000004">
      <c r="A51" s="121">
        <v>203</v>
      </c>
      <c r="B51" s="109"/>
      <c r="C51" s="121">
        <v>223</v>
      </c>
      <c r="D51" s="109"/>
      <c r="E51" s="121">
        <v>243</v>
      </c>
      <c r="F51" s="109"/>
    </row>
    <row r="52" spans="1:6" ht="26.25" x14ac:dyDescent="0.55000000000000004">
      <c r="A52" s="121">
        <v>204</v>
      </c>
      <c r="B52" s="109"/>
      <c r="C52" s="121">
        <v>224</v>
      </c>
      <c r="D52" s="109"/>
      <c r="E52" s="121">
        <v>244</v>
      </c>
      <c r="F52" s="109"/>
    </row>
    <row r="53" spans="1:6" ht="26.25" x14ac:dyDescent="0.55000000000000004">
      <c r="A53" s="121">
        <v>205</v>
      </c>
      <c r="B53" s="109"/>
      <c r="C53" s="121">
        <v>225</v>
      </c>
      <c r="D53" s="109"/>
      <c r="E53" s="121">
        <v>245</v>
      </c>
      <c r="F53" s="109"/>
    </row>
    <row r="54" spans="1:6" ht="26.25" x14ac:dyDescent="0.55000000000000004">
      <c r="A54" s="121">
        <v>206</v>
      </c>
      <c r="B54" s="109"/>
      <c r="C54" s="121">
        <v>226</v>
      </c>
      <c r="D54" s="109"/>
      <c r="E54" s="121">
        <v>246</v>
      </c>
      <c r="F54" s="109"/>
    </row>
    <row r="55" spans="1:6" ht="26.25" x14ac:dyDescent="0.55000000000000004">
      <c r="A55" s="121">
        <v>207</v>
      </c>
      <c r="B55" s="109"/>
      <c r="C55" s="121">
        <v>227</v>
      </c>
      <c r="D55" s="109"/>
      <c r="E55" s="121">
        <v>247</v>
      </c>
      <c r="F55" s="109"/>
    </row>
    <row r="56" spans="1:6" ht="26.25" x14ac:dyDescent="0.55000000000000004">
      <c r="A56" s="121">
        <v>208</v>
      </c>
      <c r="B56" s="109"/>
      <c r="C56" s="121">
        <v>228</v>
      </c>
      <c r="D56" s="109"/>
      <c r="E56" s="121">
        <v>248</v>
      </c>
      <c r="F56" s="109"/>
    </row>
    <row r="57" spans="1:6" ht="26.25" x14ac:dyDescent="0.55000000000000004">
      <c r="A57" s="121">
        <v>209</v>
      </c>
      <c r="B57" s="109"/>
      <c r="C57" s="121">
        <v>229</v>
      </c>
      <c r="D57" s="109"/>
      <c r="E57" s="121">
        <v>249</v>
      </c>
      <c r="F57" s="109"/>
    </row>
    <row r="58" spans="1:6" ht="26.25" x14ac:dyDescent="0.55000000000000004">
      <c r="A58" s="121">
        <v>210</v>
      </c>
      <c r="B58" s="109"/>
      <c r="C58" s="121">
        <v>230</v>
      </c>
      <c r="D58" s="109"/>
      <c r="E58" s="121">
        <v>250</v>
      </c>
      <c r="F58" s="109"/>
    </row>
    <row r="59" spans="1:6" ht="26.25" x14ac:dyDescent="0.55000000000000004">
      <c r="A59" s="121">
        <v>211</v>
      </c>
      <c r="B59" s="109"/>
      <c r="C59" s="121">
        <v>231</v>
      </c>
      <c r="D59" s="109"/>
      <c r="E59" s="121">
        <v>251</v>
      </c>
      <c r="F59" s="109"/>
    </row>
    <row r="60" spans="1:6" ht="26.25" x14ac:dyDescent="0.55000000000000004">
      <c r="A60" s="121">
        <v>212</v>
      </c>
      <c r="B60" s="109"/>
      <c r="C60" s="121">
        <v>232</v>
      </c>
      <c r="D60" s="109"/>
      <c r="E60" s="121">
        <v>252</v>
      </c>
      <c r="F60" s="109"/>
    </row>
    <row r="61" spans="1:6" ht="26.25" x14ac:dyDescent="0.55000000000000004">
      <c r="A61" s="121">
        <v>213</v>
      </c>
      <c r="B61" s="109"/>
      <c r="C61" s="121">
        <v>233</v>
      </c>
      <c r="D61" s="109"/>
      <c r="E61" s="121">
        <v>253</v>
      </c>
      <c r="F61" s="109"/>
    </row>
    <row r="62" spans="1:6" ht="26.25" x14ac:dyDescent="0.55000000000000004">
      <c r="A62" s="121">
        <v>214</v>
      </c>
      <c r="B62" s="109"/>
      <c r="C62" s="121">
        <v>234</v>
      </c>
      <c r="D62" s="109"/>
      <c r="E62" s="121">
        <v>254</v>
      </c>
      <c r="F62" s="109"/>
    </row>
    <row r="63" spans="1:6" ht="26.25" x14ac:dyDescent="0.55000000000000004">
      <c r="A63" s="121">
        <v>215</v>
      </c>
      <c r="B63" s="109"/>
      <c r="C63" s="121">
        <v>235</v>
      </c>
      <c r="D63" s="109"/>
      <c r="E63" s="121">
        <v>255</v>
      </c>
      <c r="F63" s="109"/>
    </row>
    <row r="64" spans="1:6" ht="26.25" x14ac:dyDescent="0.55000000000000004">
      <c r="A64" s="121">
        <v>216</v>
      </c>
      <c r="B64" s="109"/>
      <c r="C64" s="121">
        <v>236</v>
      </c>
      <c r="D64" s="109"/>
      <c r="E64" s="121">
        <v>256</v>
      </c>
      <c r="F64" s="109"/>
    </row>
    <row r="65" spans="1:6" ht="26.25" x14ac:dyDescent="0.55000000000000004">
      <c r="A65" s="121">
        <v>217</v>
      </c>
      <c r="B65" s="109"/>
      <c r="C65" s="121">
        <v>237</v>
      </c>
      <c r="D65" s="109"/>
      <c r="E65" s="121">
        <v>257</v>
      </c>
      <c r="F65" s="109"/>
    </row>
    <row r="66" spans="1:6" ht="26.25" x14ac:dyDescent="0.55000000000000004">
      <c r="A66" s="121">
        <v>218</v>
      </c>
      <c r="B66" s="109"/>
      <c r="C66" s="121">
        <v>238</v>
      </c>
      <c r="D66" s="109"/>
      <c r="E66" s="121">
        <v>258</v>
      </c>
      <c r="F66" s="109"/>
    </row>
    <row r="67" spans="1:6" ht="26.25" x14ac:dyDescent="0.55000000000000004">
      <c r="A67" s="121">
        <v>219</v>
      </c>
      <c r="B67" s="109"/>
      <c r="C67" s="121">
        <v>239</v>
      </c>
      <c r="D67" s="109"/>
      <c r="E67" s="121">
        <v>259</v>
      </c>
      <c r="F67" s="109"/>
    </row>
    <row r="68" spans="1:6" ht="26.25" x14ac:dyDescent="0.55000000000000004">
      <c r="A68" s="121">
        <v>220</v>
      </c>
      <c r="B68" s="109"/>
      <c r="C68" s="121">
        <v>240</v>
      </c>
      <c r="D68" s="109"/>
      <c r="E68" s="121">
        <v>260</v>
      </c>
      <c r="F68" s="109"/>
    </row>
    <row r="69" spans="1:6" ht="28.5" x14ac:dyDescent="0.55000000000000004">
      <c r="A69" s="111" t="s">
        <v>201</v>
      </c>
      <c r="B69" s="112">
        <f>COUNTIF(B49:F68,"EMPTY-1")</f>
        <v>0</v>
      </c>
      <c r="C69" s="271"/>
      <c r="D69" s="271"/>
      <c r="E69" s="111" t="s">
        <v>200</v>
      </c>
      <c r="F69" s="112">
        <f>COUNTIF(B49:F68,"EMPTY-2")</f>
        <v>0</v>
      </c>
    </row>
    <row r="70" spans="1:6" ht="28.5" x14ac:dyDescent="0.75">
      <c r="A70" s="272" t="s">
        <v>199</v>
      </c>
      <c r="B70" s="272"/>
      <c r="C70" s="272"/>
      <c r="D70" s="272"/>
      <c r="E70" s="272"/>
      <c r="F70" s="113">
        <f>COUNTIF(B48:F68,"FULL BEAM-2")</f>
        <v>0</v>
      </c>
    </row>
    <row r="71" spans="1:6" ht="28.5" x14ac:dyDescent="0.55000000000000004">
      <c r="A71" s="273" t="s">
        <v>210</v>
      </c>
      <c r="B71" s="273"/>
      <c r="C71" s="273"/>
      <c r="D71" s="273"/>
      <c r="E71" s="273"/>
      <c r="F71" s="114">
        <f>COUNTIF(B44:F68,"N.N.")</f>
        <v>0</v>
      </c>
    </row>
    <row r="72" spans="1:6" ht="28.5" x14ac:dyDescent="0.6">
      <c r="A72" s="274" t="s">
        <v>206</v>
      </c>
      <c r="B72" s="274"/>
      <c r="C72" s="274"/>
      <c r="D72" s="274"/>
      <c r="E72" s="274"/>
      <c r="F72" s="116">
        <f>COUNTIF(B48:F68,"&gt;9000")</f>
        <v>0</v>
      </c>
    </row>
    <row r="73" spans="1:6" ht="33.75" x14ac:dyDescent="0.55000000000000004">
      <c r="A73" s="275" t="s">
        <v>198</v>
      </c>
      <c r="B73" s="275"/>
      <c r="C73" s="275"/>
      <c r="D73" s="275"/>
      <c r="E73" s="275"/>
      <c r="F73" s="122">
        <f>COUNTIF(B48:F68,"FULL BEAM-1")</f>
        <v>0</v>
      </c>
    </row>
    <row r="74" spans="1:6" ht="33.75" x14ac:dyDescent="0.55000000000000004">
      <c r="A74" s="267" t="s">
        <v>208</v>
      </c>
      <c r="B74" s="267"/>
      <c r="C74" s="267"/>
      <c r="D74" s="267"/>
      <c r="E74" s="267"/>
      <c r="F74" s="118">
        <f>SUM(F69+F70+F71+F72+F73+B69)</f>
        <v>0</v>
      </c>
    </row>
  </sheetData>
  <mergeCells count="20">
    <mergeCell ref="A45:F46"/>
    <mergeCell ref="A1:F1"/>
    <mergeCell ref="A2:F3"/>
    <mergeCell ref="A4:F4"/>
    <mergeCell ref="C36:D36"/>
    <mergeCell ref="A37:E37"/>
    <mergeCell ref="A38:B38"/>
    <mergeCell ref="D38:E38"/>
    <mergeCell ref="A39:E39"/>
    <mergeCell ref="A40:E40"/>
    <mergeCell ref="A41:E41"/>
    <mergeCell ref="A42:E42"/>
    <mergeCell ref="A44:F44"/>
    <mergeCell ref="A74:E74"/>
    <mergeCell ref="A47:F47"/>
    <mergeCell ref="C69:D69"/>
    <mergeCell ref="A70:E70"/>
    <mergeCell ref="A71:E71"/>
    <mergeCell ref="A72:E72"/>
    <mergeCell ref="A73:E73"/>
  </mergeCells>
  <pageMargins left="0" right="0" top="0" bottom="0" header="0.78740157480314965" footer="0.39370078740157483"/>
  <pageSetup paperSize="9" scale="4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4"/>
  <sheetViews>
    <sheetView zoomScale="40" zoomScaleNormal="40" workbookViewId="0">
      <selection sqref="A1:G1"/>
    </sheetView>
  </sheetViews>
  <sheetFormatPr defaultRowHeight="21" x14ac:dyDescent="0.55000000000000004"/>
  <cols>
    <col min="1" max="1" width="40.109375" customWidth="1"/>
    <col min="2" max="2" width="37.88671875" bestFit="1" customWidth="1"/>
    <col min="3" max="3" width="38.44140625" customWidth="1"/>
    <col min="4" max="4" width="55.109375" customWidth="1"/>
    <col min="5" max="5" width="55.109375" bestFit="1" customWidth="1"/>
    <col min="6" max="6" width="46" bestFit="1" customWidth="1"/>
    <col min="7" max="7" width="39.88671875" bestFit="1" customWidth="1"/>
  </cols>
  <sheetData>
    <row r="1" spans="1:7" ht="89.25" x14ac:dyDescent="2.2999999999999998">
      <c r="A1" s="288" t="s">
        <v>60</v>
      </c>
      <c r="B1" s="289"/>
      <c r="C1" s="289"/>
      <c r="D1" s="289"/>
      <c r="E1" s="289"/>
      <c r="F1" s="289"/>
      <c r="G1" s="290"/>
    </row>
    <row r="2" spans="1:7" ht="66" x14ac:dyDescent="1.7">
      <c r="A2" s="303" t="s">
        <v>61</v>
      </c>
      <c r="B2" s="304"/>
      <c r="C2" s="305">
        <v>45630</v>
      </c>
      <c r="D2" s="305"/>
      <c r="E2" s="305"/>
      <c r="F2" s="302" t="s">
        <v>62</v>
      </c>
      <c r="G2" s="302"/>
    </row>
    <row r="3" spans="1:7" ht="66.75" x14ac:dyDescent="1.75">
      <c r="A3" s="59" t="s">
        <v>63</v>
      </c>
      <c r="B3" s="59" t="s">
        <v>64</v>
      </c>
      <c r="C3" s="59" t="s">
        <v>69</v>
      </c>
      <c r="D3" s="59" t="s">
        <v>68</v>
      </c>
      <c r="E3" s="59" t="s">
        <v>65</v>
      </c>
      <c r="F3" s="59" t="s">
        <v>66</v>
      </c>
      <c r="G3" s="59" t="s">
        <v>70</v>
      </c>
    </row>
    <row r="4" spans="1:7" ht="48" x14ac:dyDescent="1.25">
      <c r="A4" s="60" t="s">
        <v>71</v>
      </c>
      <c r="B4" s="60" t="s">
        <v>9</v>
      </c>
      <c r="C4" s="60"/>
      <c r="D4" s="60"/>
      <c r="E4" s="60">
        <v>0</v>
      </c>
      <c r="F4" s="60">
        <v>4019</v>
      </c>
      <c r="G4" s="60">
        <f>F4+E4</f>
        <v>4019</v>
      </c>
    </row>
    <row r="5" spans="1:7" ht="48" x14ac:dyDescent="1.25">
      <c r="A5" s="60" t="s">
        <v>72</v>
      </c>
      <c r="B5" s="60" t="s">
        <v>9</v>
      </c>
      <c r="C5" s="60"/>
      <c r="D5" s="60"/>
      <c r="E5" s="60">
        <v>0</v>
      </c>
      <c r="F5" s="60">
        <v>1074</v>
      </c>
      <c r="G5" s="60">
        <f t="shared" ref="G5:G41" si="0">F5+E5</f>
        <v>1074</v>
      </c>
    </row>
    <row r="6" spans="1:7" ht="48" x14ac:dyDescent="1.25">
      <c r="A6" s="61" t="s">
        <v>73</v>
      </c>
      <c r="B6" s="60" t="s">
        <v>9</v>
      </c>
      <c r="C6" s="62"/>
      <c r="D6" s="62"/>
      <c r="E6" s="62">
        <v>0</v>
      </c>
      <c r="F6" s="62">
        <v>315</v>
      </c>
      <c r="G6" s="60">
        <f t="shared" si="0"/>
        <v>315</v>
      </c>
    </row>
    <row r="7" spans="1:7" ht="48" x14ac:dyDescent="1.25">
      <c r="A7" s="60" t="s">
        <v>74</v>
      </c>
      <c r="B7" s="60" t="s">
        <v>9</v>
      </c>
      <c r="C7" s="60"/>
      <c r="D7" s="60"/>
      <c r="E7" s="60">
        <f>5440-240-80-480-240-320-360-320-440-360-840</f>
        <v>1760</v>
      </c>
      <c r="F7" s="63">
        <f>5875-200-200-120-240-80-120-80-120</f>
        <v>4715</v>
      </c>
      <c r="G7" s="60">
        <f t="shared" si="0"/>
        <v>6475</v>
      </c>
    </row>
    <row r="8" spans="1:7" ht="48" x14ac:dyDescent="1.25">
      <c r="A8" s="60" t="s">
        <v>75</v>
      </c>
      <c r="B8" s="60" t="s">
        <v>9</v>
      </c>
      <c r="C8" s="62"/>
      <c r="D8" s="62"/>
      <c r="E8" s="60">
        <v>0</v>
      </c>
      <c r="F8" s="64">
        <v>56</v>
      </c>
      <c r="G8" s="60">
        <f t="shared" si="0"/>
        <v>56</v>
      </c>
    </row>
    <row r="9" spans="1:7" ht="48" x14ac:dyDescent="1.25">
      <c r="A9" s="60"/>
      <c r="B9" s="60"/>
      <c r="C9" s="62"/>
      <c r="D9" s="62"/>
      <c r="E9" s="60"/>
      <c r="F9" s="62"/>
      <c r="G9" s="60"/>
    </row>
    <row r="10" spans="1:7" ht="48" x14ac:dyDescent="1.25">
      <c r="A10" s="61" t="s">
        <v>76</v>
      </c>
      <c r="B10" s="60" t="s">
        <v>9</v>
      </c>
      <c r="C10" s="62"/>
      <c r="D10" s="62"/>
      <c r="E10" s="64">
        <v>362</v>
      </c>
      <c r="F10" s="64">
        <f>584-45.36</f>
        <v>538.64</v>
      </c>
      <c r="G10" s="60">
        <f t="shared" si="0"/>
        <v>900.64</v>
      </c>
    </row>
    <row r="11" spans="1:7" ht="48" x14ac:dyDescent="1.25">
      <c r="A11" s="60" t="s">
        <v>77</v>
      </c>
      <c r="B11" s="60" t="s">
        <v>9</v>
      </c>
      <c r="C11" s="60"/>
      <c r="D11" s="60"/>
      <c r="E11" s="63">
        <f>5446-374.4-187.2-286.2-187.2-374.4-327.6-46.8-368-368</f>
        <v>2926.2000000000007</v>
      </c>
      <c r="F11" s="64">
        <f>3372-45-90-90-90-135-90-135-135-45-90</f>
        <v>2427</v>
      </c>
      <c r="G11" s="60">
        <f t="shared" si="0"/>
        <v>5353.2000000000007</v>
      </c>
    </row>
    <row r="12" spans="1:7" ht="48" x14ac:dyDescent="1.25">
      <c r="A12" s="60" t="s">
        <v>78</v>
      </c>
      <c r="B12" s="60" t="s">
        <v>9</v>
      </c>
      <c r="C12" s="60"/>
      <c r="D12" s="60"/>
      <c r="E12" s="63">
        <v>0</v>
      </c>
      <c r="F12" s="63">
        <v>419</v>
      </c>
      <c r="G12" s="60">
        <f t="shared" si="0"/>
        <v>419</v>
      </c>
    </row>
    <row r="13" spans="1:7" ht="48" x14ac:dyDescent="1.25">
      <c r="A13" s="60" t="s">
        <v>79</v>
      </c>
      <c r="B13" s="60" t="s">
        <v>9</v>
      </c>
      <c r="C13" s="60"/>
      <c r="D13" s="60"/>
      <c r="E13" s="63">
        <v>123</v>
      </c>
      <c r="F13" s="63">
        <f>967-83.52-42</f>
        <v>841.48</v>
      </c>
      <c r="G13" s="60">
        <f t="shared" si="0"/>
        <v>964.48</v>
      </c>
    </row>
    <row r="14" spans="1:7" ht="48" x14ac:dyDescent="1.25">
      <c r="A14" s="60" t="s">
        <v>80</v>
      </c>
      <c r="B14" s="60" t="s">
        <v>9</v>
      </c>
      <c r="C14" s="60"/>
      <c r="D14" s="60"/>
      <c r="E14" s="63">
        <v>0</v>
      </c>
      <c r="F14" s="63">
        <f>528+40</f>
        <v>568</v>
      </c>
      <c r="G14" s="60">
        <f t="shared" si="0"/>
        <v>568</v>
      </c>
    </row>
    <row r="15" spans="1:7" ht="48" x14ac:dyDescent="1.25">
      <c r="A15" s="60" t="s">
        <v>81</v>
      </c>
      <c r="B15" s="60" t="s">
        <v>9</v>
      </c>
      <c r="C15" s="60"/>
      <c r="D15" s="60"/>
      <c r="E15" s="63">
        <v>0</v>
      </c>
      <c r="F15" s="63">
        <v>1212</v>
      </c>
      <c r="G15" s="60">
        <f t="shared" si="0"/>
        <v>1212</v>
      </c>
    </row>
    <row r="16" spans="1:7" ht="48" x14ac:dyDescent="1.25">
      <c r="A16" s="60" t="s">
        <v>82</v>
      </c>
      <c r="B16" s="60" t="s">
        <v>9</v>
      </c>
      <c r="C16" s="62"/>
      <c r="D16" s="62"/>
      <c r="E16" s="64">
        <v>0</v>
      </c>
      <c r="F16" s="63">
        <v>0</v>
      </c>
      <c r="G16" s="60">
        <f t="shared" si="0"/>
        <v>0</v>
      </c>
    </row>
    <row r="17" spans="1:7" ht="48" x14ac:dyDescent="1.25">
      <c r="A17" s="60" t="s">
        <v>83</v>
      </c>
      <c r="B17" s="60" t="s">
        <v>9</v>
      </c>
      <c r="C17" s="62"/>
      <c r="D17" s="62"/>
      <c r="E17" s="64">
        <v>0</v>
      </c>
      <c r="F17" s="63">
        <v>213</v>
      </c>
      <c r="G17" s="60">
        <f t="shared" si="0"/>
        <v>213</v>
      </c>
    </row>
    <row r="18" spans="1:7" ht="48" x14ac:dyDescent="1.25">
      <c r="A18" s="60"/>
      <c r="B18" s="60"/>
      <c r="C18" s="62"/>
      <c r="D18" s="62"/>
      <c r="E18" s="64"/>
      <c r="F18" s="63"/>
      <c r="G18" s="60"/>
    </row>
    <row r="19" spans="1:7" ht="48" x14ac:dyDescent="1.25">
      <c r="A19" s="61" t="s">
        <v>84</v>
      </c>
      <c r="B19" s="60" t="s">
        <v>9</v>
      </c>
      <c r="C19" s="62"/>
      <c r="D19" s="62"/>
      <c r="E19" s="64">
        <v>0</v>
      </c>
      <c r="F19" s="63">
        <v>784</v>
      </c>
      <c r="G19" s="60">
        <f t="shared" si="0"/>
        <v>784</v>
      </c>
    </row>
    <row r="20" spans="1:7" ht="48" x14ac:dyDescent="1.25">
      <c r="A20" s="60" t="s">
        <v>85</v>
      </c>
      <c r="B20" s="60" t="s">
        <v>9</v>
      </c>
      <c r="C20" s="60"/>
      <c r="D20" s="60"/>
      <c r="E20" s="63">
        <f>1883-187.2-190.8-374.4-190.8-429.3-381.6-128-180</f>
        <v>-179.10000000000008</v>
      </c>
      <c r="F20" s="63">
        <f>5054-45-90-135-90-135-90-135-135-180-135-90-135</f>
        <v>3659</v>
      </c>
      <c r="G20" s="60">
        <f t="shared" si="0"/>
        <v>3479.9</v>
      </c>
    </row>
    <row r="21" spans="1:7" ht="48" x14ac:dyDescent="1.25">
      <c r="A21" s="60" t="s">
        <v>86</v>
      </c>
      <c r="B21" s="60" t="s">
        <v>9</v>
      </c>
      <c r="C21" s="60"/>
      <c r="D21" s="60"/>
      <c r="E21" s="63">
        <v>46</v>
      </c>
      <c r="F21" s="63">
        <v>237</v>
      </c>
      <c r="G21" s="60">
        <f t="shared" si="0"/>
        <v>283</v>
      </c>
    </row>
    <row r="22" spans="1:7" ht="48" x14ac:dyDescent="1.25">
      <c r="A22" s="60" t="s">
        <v>87</v>
      </c>
      <c r="B22" s="60" t="s">
        <v>9</v>
      </c>
      <c r="C22" s="60"/>
      <c r="D22" s="60"/>
      <c r="E22" s="63">
        <v>0</v>
      </c>
      <c r="F22" s="63">
        <v>1200</v>
      </c>
      <c r="G22" s="60">
        <f t="shared" si="0"/>
        <v>1200</v>
      </c>
    </row>
    <row r="23" spans="1:7" ht="48" x14ac:dyDescent="1.25">
      <c r="A23" s="60" t="s">
        <v>88</v>
      </c>
      <c r="B23" s="60" t="s">
        <v>9</v>
      </c>
      <c r="C23" s="60"/>
      <c r="D23" s="60"/>
      <c r="E23" s="63">
        <v>0</v>
      </c>
      <c r="F23" s="63">
        <v>0</v>
      </c>
      <c r="G23" s="60">
        <f t="shared" si="0"/>
        <v>0</v>
      </c>
    </row>
    <row r="24" spans="1:7" ht="48" x14ac:dyDescent="1.25">
      <c r="A24" s="60" t="s">
        <v>89</v>
      </c>
      <c r="B24" s="60" t="s">
        <v>9</v>
      </c>
      <c r="C24" s="62"/>
      <c r="D24" s="62"/>
      <c r="E24" s="64">
        <v>0</v>
      </c>
      <c r="F24" s="64">
        <v>0</v>
      </c>
      <c r="G24" s="60">
        <f t="shared" si="0"/>
        <v>0</v>
      </c>
    </row>
    <row r="25" spans="1:7" ht="48" x14ac:dyDescent="1.25">
      <c r="A25" s="60"/>
      <c r="B25" s="60"/>
      <c r="C25" s="62"/>
      <c r="D25" s="62"/>
      <c r="E25" s="64"/>
      <c r="F25" s="64"/>
      <c r="G25" s="60"/>
    </row>
    <row r="26" spans="1:7" ht="48" x14ac:dyDescent="1.25">
      <c r="A26" s="61" t="s">
        <v>90</v>
      </c>
      <c r="B26" s="60" t="s">
        <v>9</v>
      </c>
      <c r="C26" s="62"/>
      <c r="D26" s="62"/>
      <c r="E26" s="64">
        <v>0</v>
      </c>
      <c r="F26" s="64">
        <v>904</v>
      </c>
      <c r="G26" s="60">
        <f t="shared" si="0"/>
        <v>904</v>
      </c>
    </row>
    <row r="27" spans="1:7" ht="48" x14ac:dyDescent="1.25">
      <c r="A27" s="60" t="s">
        <v>91</v>
      </c>
      <c r="B27" s="60" t="s">
        <v>9</v>
      </c>
      <c r="C27" s="60"/>
      <c r="D27" s="60"/>
      <c r="E27" s="63">
        <v>0</v>
      </c>
      <c r="F27" s="63">
        <f>1269-181.44-45.36-90.72-90</f>
        <v>861.48</v>
      </c>
      <c r="G27" s="60">
        <f t="shared" si="0"/>
        <v>861.48</v>
      </c>
    </row>
    <row r="28" spans="1:7" ht="48" x14ac:dyDescent="1.25">
      <c r="A28" s="60" t="s">
        <v>92</v>
      </c>
      <c r="B28" s="60" t="s">
        <v>9</v>
      </c>
      <c r="C28" s="60"/>
      <c r="D28" s="60"/>
      <c r="E28" s="63">
        <v>607</v>
      </c>
      <c r="F28" s="63">
        <v>60</v>
      </c>
      <c r="G28" s="60">
        <f t="shared" si="0"/>
        <v>667</v>
      </c>
    </row>
    <row r="29" spans="1:7" ht="48" x14ac:dyDescent="1.25">
      <c r="A29" s="60"/>
      <c r="B29" s="60"/>
      <c r="C29" s="60"/>
      <c r="D29" s="60"/>
      <c r="E29" s="63"/>
      <c r="F29" s="63"/>
      <c r="G29" s="63"/>
    </row>
    <row r="30" spans="1:7" ht="48" x14ac:dyDescent="1.25">
      <c r="A30" s="60" t="s">
        <v>93</v>
      </c>
      <c r="B30" s="60" t="s">
        <v>9</v>
      </c>
      <c r="C30" s="60"/>
      <c r="D30" s="60"/>
      <c r="E30" s="60">
        <v>1248</v>
      </c>
      <c r="F30" s="63">
        <f>1722-48-96-49.14-96-96-48-48</f>
        <v>1240.8599999999999</v>
      </c>
      <c r="G30" s="60">
        <f t="shared" si="0"/>
        <v>2488.8599999999997</v>
      </c>
    </row>
    <row r="31" spans="1:7" ht="48" x14ac:dyDescent="1.25">
      <c r="A31" s="60" t="s">
        <v>94</v>
      </c>
      <c r="B31" s="60" t="s">
        <v>9</v>
      </c>
      <c r="C31" s="60"/>
      <c r="D31" s="60"/>
      <c r="E31" s="60">
        <v>0</v>
      </c>
      <c r="F31" s="60">
        <f>1216-64-64-64-64-64+1536-64-64</f>
        <v>2304</v>
      </c>
      <c r="G31" s="60">
        <f t="shared" si="0"/>
        <v>2304</v>
      </c>
    </row>
    <row r="32" spans="1:7" ht="48" x14ac:dyDescent="1.25">
      <c r="A32" s="60"/>
      <c r="B32" s="60"/>
      <c r="C32" s="60"/>
      <c r="D32" s="60"/>
      <c r="E32" s="60"/>
      <c r="F32" s="60"/>
      <c r="G32" s="63"/>
    </row>
    <row r="33" spans="1:7" ht="48" x14ac:dyDescent="1.25">
      <c r="A33" s="60" t="s">
        <v>95</v>
      </c>
      <c r="B33" s="60" t="s">
        <v>9</v>
      </c>
      <c r="C33" s="60"/>
      <c r="D33" s="60"/>
      <c r="E33" s="60">
        <v>0</v>
      </c>
      <c r="F33" s="60">
        <v>256</v>
      </c>
      <c r="G33" s="60">
        <f t="shared" si="0"/>
        <v>256</v>
      </c>
    </row>
    <row r="34" spans="1:7" ht="48" x14ac:dyDescent="1.25">
      <c r="A34" s="60" t="s">
        <v>96</v>
      </c>
      <c r="B34" s="60" t="s">
        <v>9</v>
      </c>
      <c r="C34" s="60"/>
      <c r="D34" s="60"/>
      <c r="E34" s="60">
        <v>0</v>
      </c>
      <c r="F34" s="60">
        <v>31</v>
      </c>
      <c r="G34" s="60">
        <f t="shared" si="0"/>
        <v>31</v>
      </c>
    </row>
    <row r="35" spans="1:7" ht="48" x14ac:dyDescent="1.25">
      <c r="A35" s="60" t="s">
        <v>97</v>
      </c>
      <c r="B35" s="60" t="s">
        <v>9</v>
      </c>
      <c r="C35" s="60"/>
      <c r="D35" s="60"/>
      <c r="E35" s="60">
        <v>512</v>
      </c>
      <c r="F35" s="60">
        <v>0</v>
      </c>
      <c r="G35" s="60">
        <f t="shared" si="0"/>
        <v>512</v>
      </c>
    </row>
    <row r="36" spans="1:7" ht="48" x14ac:dyDescent="1.25">
      <c r="A36" s="60" t="s">
        <v>98</v>
      </c>
      <c r="B36" s="60" t="s">
        <v>9</v>
      </c>
      <c r="C36" s="62"/>
      <c r="D36" s="62"/>
      <c r="E36" s="62">
        <v>0</v>
      </c>
      <c r="F36" s="62">
        <v>0</v>
      </c>
      <c r="G36" s="60">
        <f t="shared" si="0"/>
        <v>0</v>
      </c>
    </row>
    <row r="37" spans="1:7" ht="48" x14ac:dyDescent="1.25">
      <c r="A37" s="60" t="s">
        <v>99</v>
      </c>
      <c r="B37" s="60"/>
      <c r="C37" s="62"/>
      <c r="D37" s="62"/>
      <c r="E37" s="62">
        <v>0</v>
      </c>
      <c r="F37" s="62">
        <f>7014-45-136.08-45-45.36-45-90</f>
        <v>6607.56</v>
      </c>
      <c r="G37" s="60">
        <f t="shared" si="0"/>
        <v>6607.56</v>
      </c>
    </row>
    <row r="38" spans="1:7" ht="48" x14ac:dyDescent="1.25">
      <c r="A38" s="60" t="s">
        <v>100</v>
      </c>
      <c r="B38" s="60" t="s">
        <v>9</v>
      </c>
      <c r="C38" s="62"/>
      <c r="D38" s="62"/>
      <c r="E38" s="62">
        <v>0</v>
      </c>
      <c r="F38" s="62">
        <v>0</v>
      </c>
      <c r="G38" s="60">
        <f t="shared" si="0"/>
        <v>0</v>
      </c>
    </row>
    <row r="39" spans="1:7" ht="48" x14ac:dyDescent="1.25">
      <c r="A39" s="61" t="s">
        <v>101</v>
      </c>
      <c r="B39" s="60" t="s">
        <v>9</v>
      </c>
      <c r="C39" s="62"/>
      <c r="D39" s="62"/>
      <c r="E39" s="62">
        <v>0</v>
      </c>
      <c r="F39" s="62">
        <f>3735-60-120.1-60+2156-120-60</f>
        <v>5470.9</v>
      </c>
      <c r="G39" s="60">
        <f t="shared" si="0"/>
        <v>5470.9</v>
      </c>
    </row>
    <row r="40" spans="1:7" ht="48" x14ac:dyDescent="1.25">
      <c r="A40" s="61" t="s">
        <v>102</v>
      </c>
      <c r="B40" s="60"/>
      <c r="C40" s="62"/>
      <c r="D40" s="62"/>
      <c r="E40" s="62">
        <v>0</v>
      </c>
      <c r="F40" s="62">
        <v>62</v>
      </c>
      <c r="G40" s="60">
        <f t="shared" si="0"/>
        <v>62</v>
      </c>
    </row>
    <row r="41" spans="1:7" ht="48" x14ac:dyDescent="1.25">
      <c r="A41" s="61" t="s">
        <v>103</v>
      </c>
      <c r="B41" s="60" t="s">
        <v>9</v>
      </c>
      <c r="C41" s="62"/>
      <c r="D41" s="62"/>
      <c r="E41" s="62">
        <v>0</v>
      </c>
      <c r="F41" s="62">
        <v>170</v>
      </c>
      <c r="G41" s="60">
        <f t="shared" si="0"/>
        <v>170</v>
      </c>
    </row>
    <row r="42" spans="1:7" ht="89.25" x14ac:dyDescent="2.2999999999999998">
      <c r="A42" s="65"/>
      <c r="B42" s="66" t="s">
        <v>104</v>
      </c>
      <c r="C42" s="68"/>
      <c r="D42" s="68"/>
      <c r="E42" s="67">
        <f>SUM(E4:E41)</f>
        <v>7405.1</v>
      </c>
      <c r="F42" s="67">
        <f>SUM(F4:F41)</f>
        <v>40245.919999999998</v>
      </c>
      <c r="G42" s="69">
        <f>E42+F42</f>
        <v>47651.02</v>
      </c>
    </row>
    <row r="47" spans="1:7" ht="89.25" x14ac:dyDescent="2.2999999999999998">
      <c r="A47" s="288" t="s">
        <v>60</v>
      </c>
      <c r="B47" s="289"/>
      <c r="C47" s="289"/>
      <c r="D47" s="289"/>
      <c r="E47" s="289"/>
      <c r="F47" s="289"/>
    </row>
    <row r="48" spans="1:7" ht="48" x14ac:dyDescent="1.25">
      <c r="A48" s="291" t="s">
        <v>105</v>
      </c>
      <c r="B48" s="292"/>
      <c r="C48" s="292"/>
      <c r="D48" s="292"/>
      <c r="E48" s="292"/>
      <c r="F48" s="292"/>
    </row>
    <row r="49" spans="1:6" ht="34.5" x14ac:dyDescent="0.55000000000000004">
      <c r="A49" s="298" t="s">
        <v>106</v>
      </c>
      <c r="B49" s="298"/>
      <c r="C49" s="298"/>
      <c r="D49" s="298"/>
      <c r="E49" s="298"/>
      <c r="F49" s="298"/>
    </row>
    <row r="50" spans="1:6" ht="48" x14ac:dyDescent="1.25">
      <c r="A50" s="70" t="s">
        <v>64</v>
      </c>
      <c r="B50" s="70" t="s">
        <v>107</v>
      </c>
      <c r="C50" s="70" t="s">
        <v>108</v>
      </c>
      <c r="D50" s="70" t="s">
        <v>109</v>
      </c>
      <c r="E50" s="70" t="s">
        <v>110</v>
      </c>
      <c r="F50" s="70" t="s">
        <v>70</v>
      </c>
    </row>
    <row r="51" spans="1:6" ht="48" x14ac:dyDescent="1.25">
      <c r="A51" s="63">
        <v>13</v>
      </c>
      <c r="B51" s="60" t="s">
        <v>111</v>
      </c>
      <c r="C51" s="63"/>
      <c r="D51" s="63">
        <v>972.63</v>
      </c>
      <c r="E51" s="63">
        <v>563</v>
      </c>
      <c r="F51" s="63">
        <f>D51+E51</f>
        <v>1535.63</v>
      </c>
    </row>
    <row r="52" spans="1:6" ht="48" x14ac:dyDescent="1.25">
      <c r="A52" s="63">
        <v>17</v>
      </c>
      <c r="B52" s="60" t="s">
        <v>111</v>
      </c>
      <c r="C52" s="63"/>
      <c r="D52" s="63">
        <f>497-29-50-30-18.35+18.35-27-25</f>
        <v>336</v>
      </c>
      <c r="E52" s="63">
        <f>772.61</f>
        <v>772.61</v>
      </c>
      <c r="F52" s="63">
        <f>D52+E52</f>
        <v>1108.6100000000001</v>
      </c>
    </row>
    <row r="53" spans="1:6" ht="48" x14ac:dyDescent="1.25">
      <c r="A53" s="60">
        <v>67</v>
      </c>
      <c r="B53" s="60" t="s">
        <v>111</v>
      </c>
      <c r="C53" s="60"/>
      <c r="D53" s="60">
        <v>340</v>
      </c>
      <c r="E53" s="60">
        <v>799</v>
      </c>
      <c r="F53" s="60">
        <f>D53+E53</f>
        <v>1139</v>
      </c>
    </row>
    <row r="54" spans="1:6" ht="48" x14ac:dyDescent="1.25">
      <c r="A54" s="60">
        <v>74</v>
      </c>
      <c r="B54" s="60" t="s">
        <v>112</v>
      </c>
      <c r="C54" s="60"/>
      <c r="D54" s="60">
        <v>0</v>
      </c>
      <c r="E54" s="63">
        <f>70+1161</f>
        <v>1231</v>
      </c>
      <c r="F54" s="60">
        <f t="shared" ref="F54:F67" si="1">D54+E54</f>
        <v>1231</v>
      </c>
    </row>
    <row r="55" spans="1:6" ht="48" x14ac:dyDescent="1.25">
      <c r="A55" s="60">
        <v>69</v>
      </c>
      <c r="B55" s="60" t="s">
        <v>113</v>
      </c>
      <c r="C55" s="60"/>
      <c r="D55" s="60">
        <v>0</v>
      </c>
      <c r="E55" s="63">
        <f>871.43-50-25</f>
        <v>796.43</v>
      </c>
      <c r="F55" s="60">
        <f t="shared" si="1"/>
        <v>796.43</v>
      </c>
    </row>
    <row r="56" spans="1:6" ht="48" x14ac:dyDescent="1.25">
      <c r="A56" s="60">
        <v>68</v>
      </c>
      <c r="B56" s="60" t="s">
        <v>114</v>
      </c>
      <c r="C56" s="60"/>
      <c r="D56" s="60">
        <v>0</v>
      </c>
      <c r="E56" s="63">
        <f>384+42-50-25-25-25</f>
        <v>301</v>
      </c>
      <c r="F56" s="60">
        <f t="shared" si="1"/>
        <v>301</v>
      </c>
    </row>
    <row r="57" spans="1:6" ht="48" x14ac:dyDescent="1.25">
      <c r="A57" s="60">
        <v>71</v>
      </c>
      <c r="B57" s="60" t="s">
        <v>115</v>
      </c>
      <c r="C57" s="60"/>
      <c r="D57" s="60">
        <v>0</v>
      </c>
      <c r="E57" s="63">
        <f>1238-25-25-50</f>
        <v>1138</v>
      </c>
      <c r="F57" s="60">
        <f t="shared" si="1"/>
        <v>1138</v>
      </c>
    </row>
    <row r="58" spans="1:6" ht="48" x14ac:dyDescent="1.25">
      <c r="A58" s="60">
        <v>76</v>
      </c>
      <c r="B58" s="60" t="s">
        <v>111</v>
      </c>
      <c r="C58" s="60"/>
      <c r="D58" s="60">
        <v>199</v>
      </c>
      <c r="E58" s="63">
        <f>1241+116.96</f>
        <v>1357.96</v>
      </c>
      <c r="F58" s="60">
        <f t="shared" si="1"/>
        <v>1556.96</v>
      </c>
    </row>
    <row r="59" spans="1:6" ht="48" x14ac:dyDescent="1.25">
      <c r="A59" s="60">
        <v>136</v>
      </c>
      <c r="B59" s="60" t="s">
        <v>116</v>
      </c>
      <c r="C59" s="60"/>
      <c r="D59" s="60">
        <v>506.78</v>
      </c>
      <c r="E59" s="63">
        <v>0</v>
      </c>
      <c r="F59" s="60">
        <f t="shared" si="1"/>
        <v>506.78</v>
      </c>
    </row>
    <row r="60" spans="1:6" ht="48" x14ac:dyDescent="1.25">
      <c r="A60" s="60">
        <v>170</v>
      </c>
      <c r="B60" s="60" t="s">
        <v>117</v>
      </c>
      <c r="C60" s="60"/>
      <c r="D60" s="60">
        <f>233-60-30-60</f>
        <v>83</v>
      </c>
      <c r="E60" s="63">
        <f>714-52-25-25-25-50</f>
        <v>537</v>
      </c>
      <c r="F60" s="60">
        <f t="shared" si="1"/>
        <v>620</v>
      </c>
    </row>
    <row r="61" spans="1:6" ht="48" x14ac:dyDescent="1.25">
      <c r="A61" s="60">
        <v>188</v>
      </c>
      <c r="B61" s="60" t="s">
        <v>118</v>
      </c>
      <c r="C61" s="60"/>
      <c r="D61" s="60">
        <v>50</v>
      </c>
      <c r="E61" s="63">
        <f>719-75</f>
        <v>644</v>
      </c>
      <c r="F61" s="60">
        <f t="shared" si="1"/>
        <v>694</v>
      </c>
    </row>
    <row r="62" spans="1:6" ht="48" x14ac:dyDescent="1.25">
      <c r="A62" s="60">
        <v>23</v>
      </c>
      <c r="B62" s="60" t="s">
        <v>119</v>
      </c>
      <c r="C62" s="60"/>
      <c r="D62" s="60">
        <v>0</v>
      </c>
      <c r="E62" s="63">
        <v>985</v>
      </c>
      <c r="F62" s="60">
        <f t="shared" si="1"/>
        <v>985</v>
      </c>
    </row>
    <row r="63" spans="1:6" ht="48" x14ac:dyDescent="1.25">
      <c r="A63" s="60">
        <v>10</v>
      </c>
      <c r="B63" s="60" t="s">
        <v>120</v>
      </c>
      <c r="C63" s="60"/>
      <c r="D63" s="60">
        <v>240</v>
      </c>
      <c r="E63" s="63">
        <f>377+179</f>
        <v>556</v>
      </c>
      <c r="F63" s="60">
        <f t="shared" si="1"/>
        <v>796</v>
      </c>
    </row>
    <row r="64" spans="1:6" ht="48" x14ac:dyDescent="1.25">
      <c r="A64" s="60">
        <v>151</v>
      </c>
      <c r="B64" s="60" t="s">
        <v>121</v>
      </c>
      <c r="C64" s="60"/>
      <c r="D64" s="60">
        <v>0</v>
      </c>
      <c r="E64" s="63">
        <v>119</v>
      </c>
      <c r="F64" s="60">
        <f t="shared" si="1"/>
        <v>119</v>
      </c>
    </row>
    <row r="65" spans="1:6" ht="48" x14ac:dyDescent="1.25">
      <c r="A65" s="60">
        <v>70</v>
      </c>
      <c r="B65" s="60" t="s">
        <v>111</v>
      </c>
      <c r="C65" s="60"/>
      <c r="D65" s="60">
        <v>0</v>
      </c>
      <c r="E65" s="63">
        <v>68</v>
      </c>
      <c r="F65" s="60">
        <f t="shared" si="1"/>
        <v>68</v>
      </c>
    </row>
    <row r="66" spans="1:6" ht="48" x14ac:dyDescent="1.25">
      <c r="A66" s="60">
        <v>157</v>
      </c>
      <c r="B66" s="60" t="s">
        <v>122</v>
      </c>
      <c r="C66" s="60"/>
      <c r="D66" s="63">
        <f>176-60-52-110+46</f>
        <v>0</v>
      </c>
      <c r="E66" s="63">
        <v>0</v>
      </c>
      <c r="F66" s="60">
        <f t="shared" si="1"/>
        <v>0</v>
      </c>
    </row>
    <row r="67" spans="1:6" ht="48" x14ac:dyDescent="1.25">
      <c r="A67" s="60">
        <v>5</v>
      </c>
      <c r="B67" s="62" t="s">
        <v>26</v>
      </c>
      <c r="C67" s="60"/>
      <c r="D67" s="62">
        <f>180-30-60-30-156+2018.79-196-75</f>
        <v>1651.79</v>
      </c>
      <c r="E67" s="64">
        <f>505-30-28-60-50-75-75</f>
        <v>187</v>
      </c>
      <c r="F67" s="60">
        <f t="shared" si="1"/>
        <v>1838.79</v>
      </c>
    </row>
    <row r="68" spans="1:6" ht="48" x14ac:dyDescent="1.25">
      <c r="A68" s="60" t="s">
        <v>25</v>
      </c>
      <c r="B68" s="60" t="s">
        <v>25</v>
      </c>
      <c r="C68" s="60"/>
      <c r="D68" s="64">
        <f>4140-250-216-150-325-100-200-150+1446.87+521.57+1710.54+622.94-572-300</f>
        <v>6178.92</v>
      </c>
      <c r="E68" s="64">
        <f>2344-30-30-25-30-116-52-60+1464.23+1192.17-30-25</f>
        <v>4602.3999999999996</v>
      </c>
      <c r="F68" s="60">
        <f>D68+E68</f>
        <v>10781.32</v>
      </c>
    </row>
    <row r="69" spans="1:6" ht="48" x14ac:dyDescent="1.25">
      <c r="A69" s="71"/>
      <c r="B69" s="72" t="s">
        <v>104</v>
      </c>
      <c r="C69" s="73"/>
      <c r="D69" s="74">
        <f>SUM(D53:D68)</f>
        <v>9249.49</v>
      </c>
      <c r="E69" s="74">
        <f>SUM(E53:E68)</f>
        <v>13321.789999999999</v>
      </c>
      <c r="F69" s="75">
        <f>SUM(F53:F68)</f>
        <v>22571.279999999999</v>
      </c>
    </row>
    <row r="71" spans="1:6" ht="89.25" x14ac:dyDescent="2.2999999999999998">
      <c r="A71" s="288" t="s">
        <v>60</v>
      </c>
      <c r="B71" s="289"/>
      <c r="C71" s="289"/>
      <c r="D71" s="289"/>
      <c r="E71" s="289"/>
      <c r="F71" s="290"/>
    </row>
    <row r="72" spans="1:6" ht="89.25" x14ac:dyDescent="2.2999999999999998">
      <c r="A72" s="299" t="s">
        <v>123</v>
      </c>
      <c r="B72" s="300"/>
      <c r="C72" s="300"/>
      <c r="D72" s="300"/>
      <c r="E72" s="300"/>
      <c r="F72" s="301"/>
    </row>
    <row r="73" spans="1:6" ht="34.5" x14ac:dyDescent="0.55000000000000004">
      <c r="A73" s="298" t="str">
        <f>A49</f>
        <v>DATE-04/12/2024</v>
      </c>
      <c r="B73" s="298"/>
      <c r="C73" s="298"/>
      <c r="D73" s="298"/>
      <c r="E73" s="298"/>
      <c r="F73" s="298"/>
    </row>
    <row r="74" spans="1:6" ht="61.5" x14ac:dyDescent="0.9">
      <c r="A74" s="76" t="s">
        <v>163</v>
      </c>
      <c r="B74" s="76" t="s">
        <v>164</v>
      </c>
      <c r="C74" s="76" t="s">
        <v>64</v>
      </c>
      <c r="D74" s="76" t="s">
        <v>107</v>
      </c>
      <c r="E74" s="76" t="s">
        <v>125</v>
      </c>
      <c r="F74" s="76" t="s">
        <v>70</v>
      </c>
    </row>
    <row r="75" spans="1:6" ht="61.5" x14ac:dyDescent="0.9">
      <c r="A75" s="77"/>
      <c r="B75" s="77"/>
      <c r="C75" s="77" t="s">
        <v>25</v>
      </c>
      <c r="D75" s="77" t="s">
        <v>25</v>
      </c>
      <c r="E75" s="77">
        <v>90</v>
      </c>
      <c r="F75" s="77">
        <f>E75</f>
        <v>90</v>
      </c>
    </row>
    <row r="76" spans="1:6" ht="61.5" x14ac:dyDescent="0.9">
      <c r="A76" s="77"/>
      <c r="B76" s="77"/>
      <c r="C76" s="77">
        <v>5</v>
      </c>
      <c r="D76" s="77" t="s">
        <v>26</v>
      </c>
      <c r="E76" s="77">
        <v>32</v>
      </c>
      <c r="F76" s="77">
        <f t="shared" ref="F76:F80" si="2">E76</f>
        <v>32</v>
      </c>
    </row>
    <row r="77" spans="1:6" ht="61.5" x14ac:dyDescent="0.9">
      <c r="A77" s="77"/>
      <c r="B77" s="77"/>
      <c r="C77" s="77">
        <v>74</v>
      </c>
      <c r="D77" s="77" t="s">
        <v>112</v>
      </c>
      <c r="E77" s="77">
        <v>200</v>
      </c>
      <c r="F77" s="77">
        <f t="shared" si="2"/>
        <v>200</v>
      </c>
    </row>
    <row r="78" spans="1:6" ht="61.5" x14ac:dyDescent="0.9">
      <c r="A78" s="77"/>
      <c r="B78" s="77"/>
      <c r="C78" s="77">
        <v>67</v>
      </c>
      <c r="D78" s="77" t="s">
        <v>111</v>
      </c>
      <c r="E78" s="77">
        <v>80</v>
      </c>
      <c r="F78" s="77">
        <f t="shared" si="2"/>
        <v>80</v>
      </c>
    </row>
    <row r="79" spans="1:6" ht="61.5" x14ac:dyDescent="0.9">
      <c r="A79" s="77"/>
      <c r="B79" s="77"/>
      <c r="C79" s="77">
        <v>68</v>
      </c>
      <c r="D79" s="77" t="s">
        <v>114</v>
      </c>
      <c r="E79" s="77">
        <v>227</v>
      </c>
      <c r="F79" s="77">
        <f t="shared" si="2"/>
        <v>227</v>
      </c>
    </row>
    <row r="80" spans="1:6" ht="61.5" x14ac:dyDescent="0.9">
      <c r="A80" s="77"/>
      <c r="B80" s="77"/>
      <c r="C80" s="77">
        <v>157</v>
      </c>
      <c r="D80" s="77" t="s">
        <v>122</v>
      </c>
      <c r="E80" s="77">
        <v>226</v>
      </c>
      <c r="F80" s="77">
        <f t="shared" si="2"/>
        <v>226</v>
      </c>
    </row>
    <row r="81" spans="1:6" ht="61.5" x14ac:dyDescent="0.9">
      <c r="A81" s="78"/>
      <c r="B81" s="78"/>
      <c r="C81" s="78"/>
      <c r="D81" s="76" t="s">
        <v>104</v>
      </c>
      <c r="E81" s="79">
        <f>SUM(E75:E80)</f>
        <v>855</v>
      </c>
      <c r="F81" s="80">
        <f>SUM(F75:F80)</f>
        <v>855</v>
      </c>
    </row>
    <row r="82" spans="1:6" ht="61.5" x14ac:dyDescent="0.9">
      <c r="A82" s="78"/>
      <c r="B82" s="78"/>
      <c r="C82" s="78"/>
      <c r="D82" s="78"/>
      <c r="E82" s="78"/>
      <c r="F82" s="78"/>
    </row>
    <row r="83" spans="1:6" ht="89.25" x14ac:dyDescent="2.2999999999999998">
      <c r="A83" s="288" t="s">
        <v>60</v>
      </c>
      <c r="B83" s="289"/>
      <c r="C83" s="289"/>
      <c r="D83" s="289"/>
      <c r="E83" s="289"/>
      <c r="F83" s="290"/>
    </row>
    <row r="84" spans="1:6" ht="89.25" x14ac:dyDescent="2.2999999999999998">
      <c r="A84" s="299" t="s">
        <v>127</v>
      </c>
      <c r="B84" s="300"/>
      <c r="C84" s="300"/>
      <c r="D84" s="300"/>
      <c r="E84" s="300"/>
      <c r="F84" s="301"/>
    </row>
    <row r="85" spans="1:6" ht="34.5" x14ac:dyDescent="0.55000000000000004">
      <c r="A85" s="298" t="str">
        <f>A49</f>
        <v>DATE-04/12/2024</v>
      </c>
      <c r="B85" s="298"/>
      <c r="C85" s="298"/>
      <c r="D85" s="298"/>
      <c r="E85" s="298"/>
      <c r="F85" s="298"/>
    </row>
    <row r="86" spans="1:6" ht="61.5" x14ac:dyDescent="0.9">
      <c r="A86" s="76" t="s">
        <v>163</v>
      </c>
      <c r="B86" s="76" t="s">
        <v>164</v>
      </c>
      <c r="C86" s="76" t="s">
        <v>64</v>
      </c>
      <c r="D86" s="76" t="s">
        <v>107</v>
      </c>
      <c r="E86" s="76" t="s">
        <v>125</v>
      </c>
      <c r="F86" s="76" t="s">
        <v>70</v>
      </c>
    </row>
    <row r="87" spans="1:6" ht="61.5" x14ac:dyDescent="0.9">
      <c r="A87" s="77"/>
      <c r="B87" s="77"/>
      <c r="C87" s="77" t="s">
        <v>128</v>
      </c>
      <c r="D87" s="77" t="s">
        <v>129</v>
      </c>
      <c r="E87" s="77">
        <v>75</v>
      </c>
      <c r="F87" s="77">
        <f>E87</f>
        <v>75</v>
      </c>
    </row>
    <row r="88" spans="1:6" ht="61.5" x14ac:dyDescent="0.9">
      <c r="A88" s="77"/>
      <c r="B88" s="77"/>
      <c r="C88" s="77" t="s">
        <v>130</v>
      </c>
      <c r="D88" s="77" t="s">
        <v>9</v>
      </c>
      <c r="E88" s="77">
        <v>0</v>
      </c>
      <c r="F88" s="77">
        <f t="shared" ref="F88:F95" si="3">E88</f>
        <v>0</v>
      </c>
    </row>
    <row r="89" spans="1:6" ht="61.5" x14ac:dyDescent="0.9">
      <c r="A89" s="77"/>
      <c r="B89" s="77"/>
      <c r="C89" s="77" t="s">
        <v>131</v>
      </c>
      <c r="D89" s="77" t="s">
        <v>9</v>
      </c>
      <c r="E89" s="77">
        <v>0</v>
      </c>
      <c r="F89" s="77">
        <f t="shared" si="3"/>
        <v>0</v>
      </c>
    </row>
    <row r="90" spans="1:6" ht="61.5" x14ac:dyDescent="0.9">
      <c r="A90" s="77"/>
      <c r="B90" s="77"/>
      <c r="C90" s="77" t="s">
        <v>132</v>
      </c>
      <c r="D90" s="77" t="s">
        <v>9</v>
      </c>
      <c r="E90" s="77">
        <v>0</v>
      </c>
      <c r="F90" s="77">
        <f t="shared" si="3"/>
        <v>0</v>
      </c>
    </row>
    <row r="91" spans="1:6" ht="61.5" x14ac:dyDescent="0.9">
      <c r="A91" s="77"/>
      <c r="B91" s="77"/>
      <c r="C91" s="77" t="s">
        <v>133</v>
      </c>
      <c r="D91" s="77" t="s">
        <v>9</v>
      </c>
      <c r="E91" s="77">
        <v>27</v>
      </c>
      <c r="F91" s="77">
        <f t="shared" si="3"/>
        <v>27</v>
      </c>
    </row>
    <row r="92" spans="1:6" ht="61.5" x14ac:dyDescent="0.9">
      <c r="A92" s="77"/>
      <c r="B92" s="77"/>
      <c r="C92" s="77" t="s">
        <v>134</v>
      </c>
      <c r="D92" s="77" t="s">
        <v>9</v>
      </c>
      <c r="E92" s="77">
        <v>0</v>
      </c>
      <c r="F92" s="77">
        <f t="shared" si="3"/>
        <v>0</v>
      </c>
    </row>
    <row r="93" spans="1:6" ht="61.5" x14ac:dyDescent="0.9">
      <c r="A93" s="77"/>
      <c r="B93" s="77"/>
      <c r="C93" s="77" t="s">
        <v>135</v>
      </c>
      <c r="D93" s="77" t="s">
        <v>9</v>
      </c>
      <c r="E93" s="77">
        <v>49</v>
      </c>
      <c r="F93" s="77">
        <f t="shared" si="3"/>
        <v>49</v>
      </c>
    </row>
    <row r="94" spans="1:6" ht="61.5" x14ac:dyDescent="0.9">
      <c r="A94" s="77"/>
      <c r="B94" s="77"/>
      <c r="C94" s="77" t="s">
        <v>136</v>
      </c>
      <c r="D94" s="77" t="s">
        <v>9</v>
      </c>
      <c r="E94" s="77">
        <v>58</v>
      </c>
      <c r="F94" s="77">
        <f t="shared" si="3"/>
        <v>58</v>
      </c>
    </row>
    <row r="95" spans="1:6" ht="61.5" x14ac:dyDescent="0.9">
      <c r="A95" s="77"/>
      <c r="B95" s="77"/>
      <c r="C95" s="77" t="s">
        <v>137</v>
      </c>
      <c r="D95" s="77" t="s">
        <v>9</v>
      </c>
      <c r="E95" s="77">
        <v>113</v>
      </c>
      <c r="F95" s="77">
        <f t="shared" si="3"/>
        <v>113</v>
      </c>
    </row>
    <row r="96" spans="1:6" ht="61.5" x14ac:dyDescent="0.9">
      <c r="A96" s="77"/>
      <c r="B96" s="77"/>
      <c r="C96" s="77"/>
      <c r="D96" s="76" t="s">
        <v>104</v>
      </c>
      <c r="E96" s="79">
        <f>SUM(E87:E95)</f>
        <v>322</v>
      </c>
      <c r="F96" s="80">
        <f>SUM(F87:F95)</f>
        <v>322</v>
      </c>
    </row>
    <row r="98" spans="1:6" ht="89.25" x14ac:dyDescent="2.2999999999999998">
      <c r="A98" s="288" t="s">
        <v>60</v>
      </c>
      <c r="B98" s="289"/>
      <c r="C98" s="289"/>
      <c r="D98" s="289"/>
      <c r="E98" s="289"/>
      <c r="F98" s="290"/>
    </row>
    <row r="99" spans="1:6" ht="89.25" x14ac:dyDescent="2.2999999999999998">
      <c r="A99" s="299" t="s">
        <v>138</v>
      </c>
      <c r="B99" s="300"/>
      <c r="C99" s="300"/>
      <c r="D99" s="300"/>
      <c r="E99" s="300"/>
      <c r="F99" s="301"/>
    </row>
    <row r="100" spans="1:6" ht="34.5" x14ac:dyDescent="0.55000000000000004">
      <c r="A100" s="298" t="str">
        <f>A49</f>
        <v>DATE-04/12/2024</v>
      </c>
      <c r="B100" s="298"/>
      <c r="C100" s="298"/>
      <c r="D100" s="298"/>
      <c r="E100" s="298"/>
      <c r="F100" s="298"/>
    </row>
    <row r="101" spans="1:6" ht="61.5" x14ac:dyDescent="0.9">
      <c r="A101" s="76" t="s">
        <v>124</v>
      </c>
      <c r="B101" s="76" t="s">
        <v>64</v>
      </c>
      <c r="C101" s="76" t="s">
        <v>107</v>
      </c>
      <c r="D101" s="76" t="s">
        <v>125</v>
      </c>
      <c r="E101" s="76" t="s">
        <v>126</v>
      </c>
      <c r="F101" s="76" t="s">
        <v>70</v>
      </c>
    </row>
    <row r="102" spans="1:6" ht="61.5" x14ac:dyDescent="0.9">
      <c r="A102" s="77"/>
      <c r="B102" s="77" t="s">
        <v>139</v>
      </c>
      <c r="C102" s="77" t="s">
        <v>140</v>
      </c>
      <c r="D102" s="77">
        <v>200</v>
      </c>
      <c r="E102" s="77"/>
      <c r="F102" s="77">
        <f>D102</f>
        <v>200</v>
      </c>
    </row>
    <row r="103" spans="1:6" ht="61.5" x14ac:dyDescent="0.9">
      <c r="A103" s="77"/>
      <c r="B103" s="77" t="s">
        <v>139</v>
      </c>
      <c r="C103" s="77" t="s">
        <v>141</v>
      </c>
      <c r="D103" s="77">
        <v>60</v>
      </c>
      <c r="E103" s="77"/>
      <c r="F103" s="77">
        <f t="shared" ref="F103:F105" si="4">D103</f>
        <v>60</v>
      </c>
    </row>
    <row r="104" spans="1:6" ht="61.5" x14ac:dyDescent="0.9">
      <c r="A104" s="77"/>
      <c r="B104" s="77" t="s">
        <v>139</v>
      </c>
      <c r="C104" s="77" t="s">
        <v>142</v>
      </c>
      <c r="D104" s="77">
        <v>0</v>
      </c>
      <c r="E104" s="77"/>
      <c r="F104" s="77">
        <f t="shared" si="4"/>
        <v>0</v>
      </c>
    </row>
    <row r="105" spans="1:6" ht="61.5" x14ac:dyDescent="0.9">
      <c r="A105" s="77"/>
      <c r="B105" s="81" t="s">
        <v>143</v>
      </c>
      <c r="C105" s="77" t="s">
        <v>144</v>
      </c>
      <c r="D105" s="77">
        <v>200</v>
      </c>
      <c r="E105" s="77"/>
      <c r="F105" s="77">
        <f t="shared" si="4"/>
        <v>200</v>
      </c>
    </row>
    <row r="106" spans="1:6" ht="61.5" x14ac:dyDescent="0.9">
      <c r="A106" s="77"/>
      <c r="B106" s="77"/>
      <c r="C106" s="76" t="s">
        <v>104</v>
      </c>
      <c r="D106" s="79">
        <f>SUM(D102:D105)</f>
        <v>460</v>
      </c>
      <c r="E106" s="79">
        <f>SUM(E105:E105)</f>
        <v>0</v>
      </c>
      <c r="F106" s="80">
        <f>SUM(F102:F105)</f>
        <v>460</v>
      </c>
    </row>
    <row r="109" spans="1:6" ht="89.25" x14ac:dyDescent="2.2999999999999998">
      <c r="A109" s="288" t="s">
        <v>60</v>
      </c>
      <c r="B109" s="289"/>
      <c r="C109" s="289"/>
      <c r="D109" s="289"/>
      <c r="E109" s="289"/>
      <c r="F109" s="289"/>
    </row>
    <row r="110" spans="1:6" ht="48" x14ac:dyDescent="1.25">
      <c r="A110" s="291" t="s">
        <v>145</v>
      </c>
      <c r="B110" s="292"/>
      <c r="C110" s="292"/>
      <c r="D110" s="292"/>
      <c r="E110" s="292"/>
      <c r="F110" s="292"/>
    </row>
    <row r="111" spans="1:6" ht="34.5" x14ac:dyDescent="0.55000000000000004">
      <c r="A111" s="298" t="s">
        <v>106</v>
      </c>
      <c r="B111" s="298"/>
      <c r="C111" s="298"/>
      <c r="D111" s="298"/>
      <c r="E111" s="298"/>
      <c r="F111" s="298"/>
    </row>
    <row r="112" spans="1:6" ht="34.5" x14ac:dyDescent="0.55000000000000004">
      <c r="A112" s="82" t="s">
        <v>64</v>
      </c>
      <c r="B112" s="82" t="s">
        <v>107</v>
      </c>
      <c r="C112" s="82" t="s">
        <v>109</v>
      </c>
      <c r="D112" s="82" t="s">
        <v>110</v>
      </c>
      <c r="E112" s="82" t="s">
        <v>69</v>
      </c>
      <c r="F112" s="82" t="s">
        <v>68</v>
      </c>
    </row>
    <row r="113" spans="1:6" ht="34.5" x14ac:dyDescent="0.55000000000000004">
      <c r="A113" s="83">
        <v>5</v>
      </c>
      <c r="B113" s="83" t="s">
        <v>26</v>
      </c>
      <c r="C113" s="83">
        <v>0</v>
      </c>
      <c r="D113" s="83">
        <v>0</v>
      </c>
      <c r="E113" s="83"/>
      <c r="F113" s="83"/>
    </row>
    <row r="114" spans="1:6" ht="34.5" x14ac:dyDescent="0.55000000000000004">
      <c r="A114" s="83">
        <v>67</v>
      </c>
      <c r="B114" s="83" t="s">
        <v>111</v>
      </c>
      <c r="C114" s="83">
        <v>0</v>
      </c>
      <c r="D114" s="83">
        <f>506</f>
        <v>506</v>
      </c>
      <c r="E114" s="83"/>
      <c r="F114" s="83"/>
    </row>
    <row r="115" spans="1:6" ht="34.5" x14ac:dyDescent="0.55000000000000004">
      <c r="A115" s="83">
        <v>68</v>
      </c>
      <c r="B115" s="83" t="s">
        <v>114</v>
      </c>
      <c r="C115" s="83">
        <v>0</v>
      </c>
      <c r="D115" s="83">
        <v>0</v>
      </c>
      <c r="E115" s="83"/>
      <c r="F115" s="83"/>
    </row>
    <row r="116" spans="1:6" ht="34.5" x14ac:dyDescent="0.55000000000000004">
      <c r="A116" s="83">
        <v>69</v>
      </c>
      <c r="B116" s="83" t="s">
        <v>113</v>
      </c>
      <c r="C116" s="83">
        <v>50</v>
      </c>
      <c r="D116" s="83">
        <v>0</v>
      </c>
      <c r="E116" s="83"/>
      <c r="F116" s="83"/>
    </row>
    <row r="117" spans="1:6" ht="34.5" x14ac:dyDescent="0.55000000000000004">
      <c r="A117" s="83">
        <v>71</v>
      </c>
      <c r="B117" s="83" t="s">
        <v>115</v>
      </c>
      <c r="C117" s="83">
        <v>432</v>
      </c>
      <c r="D117" s="83">
        <v>252</v>
      </c>
      <c r="E117" s="83"/>
      <c r="F117" s="83"/>
    </row>
    <row r="118" spans="1:6" ht="34.5" x14ac:dyDescent="0.55000000000000004">
      <c r="A118" s="83">
        <v>74</v>
      </c>
      <c r="B118" s="83" t="s">
        <v>112</v>
      </c>
      <c r="C118" s="83">
        <v>0</v>
      </c>
      <c r="D118" s="83">
        <v>65</v>
      </c>
      <c r="E118" s="83"/>
      <c r="F118" s="83"/>
    </row>
    <row r="119" spans="1:6" ht="34.5" x14ac:dyDescent="0.55000000000000004">
      <c r="A119" s="83">
        <v>110</v>
      </c>
      <c r="B119" s="83" t="s">
        <v>147</v>
      </c>
      <c r="C119" s="83">
        <v>100</v>
      </c>
      <c r="D119" s="83">
        <v>171</v>
      </c>
      <c r="E119" s="83"/>
      <c r="F119" s="83"/>
    </row>
    <row r="120" spans="1:6" ht="34.5" x14ac:dyDescent="0.55000000000000004">
      <c r="A120" s="83">
        <v>125</v>
      </c>
      <c r="B120" s="83" t="s">
        <v>148</v>
      </c>
      <c r="C120" s="83">
        <v>108</v>
      </c>
      <c r="D120" s="83">
        <v>61</v>
      </c>
      <c r="E120" s="83"/>
      <c r="F120" s="83"/>
    </row>
    <row r="121" spans="1:6" ht="34.5" x14ac:dyDescent="0.55000000000000004">
      <c r="A121" s="83">
        <v>157</v>
      </c>
      <c r="B121" s="83" t="s">
        <v>122</v>
      </c>
      <c r="C121" s="83">
        <v>0</v>
      </c>
      <c r="D121" s="83">
        <f>50.6</f>
        <v>50.6</v>
      </c>
      <c r="E121" s="83"/>
      <c r="F121" s="83"/>
    </row>
    <row r="122" spans="1:6" ht="34.5" x14ac:dyDescent="0.55000000000000004">
      <c r="A122" s="83">
        <v>168</v>
      </c>
      <c r="B122" s="83" t="s">
        <v>149</v>
      </c>
      <c r="C122" s="83">
        <v>0</v>
      </c>
      <c r="D122" s="83">
        <v>25</v>
      </c>
      <c r="E122" s="83"/>
      <c r="F122" s="83"/>
    </row>
    <row r="123" spans="1:6" ht="34.5" x14ac:dyDescent="0.55000000000000004">
      <c r="A123" s="83">
        <v>170</v>
      </c>
      <c r="B123" s="83" t="s">
        <v>150</v>
      </c>
      <c r="C123" s="83">
        <f>70-70</f>
        <v>0</v>
      </c>
      <c r="D123" s="83">
        <v>0</v>
      </c>
      <c r="E123" s="83"/>
      <c r="F123" s="83"/>
    </row>
    <row r="124" spans="1:6" ht="34.5" x14ac:dyDescent="0.55000000000000004">
      <c r="A124" s="83">
        <v>188</v>
      </c>
      <c r="B124" s="83" t="s">
        <v>151</v>
      </c>
      <c r="C124" s="83">
        <v>0</v>
      </c>
      <c r="D124" s="83">
        <v>14</v>
      </c>
      <c r="E124" s="83"/>
      <c r="F124" s="83"/>
    </row>
    <row r="125" spans="1:6" ht="34.5" x14ac:dyDescent="0.55000000000000004">
      <c r="A125" s="83">
        <v>10</v>
      </c>
      <c r="B125" s="83" t="s">
        <v>120</v>
      </c>
      <c r="C125" s="83">
        <v>71</v>
      </c>
      <c r="D125" s="83">
        <v>25</v>
      </c>
      <c r="E125" s="83"/>
      <c r="F125" s="83"/>
    </row>
    <row r="126" spans="1:6" ht="34.5" x14ac:dyDescent="0.55000000000000004">
      <c r="A126" s="83">
        <v>23</v>
      </c>
      <c r="B126" s="83" t="s">
        <v>152</v>
      </c>
      <c r="C126" s="83">
        <f>60-60</f>
        <v>0</v>
      </c>
      <c r="D126" s="83">
        <v>0</v>
      </c>
      <c r="E126" s="83"/>
      <c r="F126" s="83"/>
    </row>
    <row r="127" spans="1:6" ht="34.5" x14ac:dyDescent="0.55000000000000004">
      <c r="A127" s="83">
        <v>158</v>
      </c>
      <c r="B127" s="84" t="s">
        <v>153</v>
      </c>
      <c r="C127" s="83">
        <v>90</v>
      </c>
      <c r="D127" s="83">
        <v>0</v>
      </c>
      <c r="E127" s="84"/>
      <c r="F127" s="84"/>
    </row>
    <row r="128" spans="1:6" ht="34.5" x14ac:dyDescent="0.55000000000000004">
      <c r="A128" s="83">
        <v>167</v>
      </c>
      <c r="B128" s="83" t="s">
        <v>154</v>
      </c>
      <c r="C128" s="83">
        <f>1051-326.27</f>
        <v>724.73</v>
      </c>
      <c r="D128" s="83">
        <f>326.27-26-50-25</f>
        <v>225.26999999999998</v>
      </c>
      <c r="E128" s="83"/>
      <c r="F128" s="83"/>
    </row>
    <row r="129" spans="1:6" ht="34.5" x14ac:dyDescent="0.55000000000000004">
      <c r="A129" s="83">
        <v>171</v>
      </c>
      <c r="B129" s="83" t="s">
        <v>155</v>
      </c>
      <c r="C129" s="83">
        <v>175</v>
      </c>
      <c r="D129" s="83">
        <v>0</v>
      </c>
      <c r="E129" s="83"/>
      <c r="F129" s="83"/>
    </row>
    <row r="130" spans="1:6" ht="34.5" x14ac:dyDescent="0.55000000000000004">
      <c r="A130" s="83">
        <v>172</v>
      </c>
      <c r="B130" s="83" t="s">
        <v>117</v>
      </c>
      <c r="C130" s="83">
        <v>121</v>
      </c>
      <c r="D130" s="83">
        <v>0</v>
      </c>
      <c r="E130" s="83"/>
      <c r="F130" s="83"/>
    </row>
    <row r="131" spans="1:6" ht="34.5" x14ac:dyDescent="0.55000000000000004">
      <c r="A131" s="83">
        <v>63</v>
      </c>
      <c r="B131" s="83" t="s">
        <v>156</v>
      </c>
      <c r="C131" s="83">
        <v>310</v>
      </c>
      <c r="D131" s="83">
        <v>0</v>
      </c>
      <c r="E131" s="83"/>
      <c r="F131" s="83"/>
    </row>
    <row r="132" spans="1:6" ht="34.5" x14ac:dyDescent="0.55000000000000004">
      <c r="A132" s="83">
        <v>9</v>
      </c>
      <c r="B132" s="83" t="s">
        <v>157</v>
      </c>
      <c r="C132" s="83">
        <v>30</v>
      </c>
      <c r="D132" s="83">
        <v>0</v>
      </c>
      <c r="E132" s="83"/>
      <c r="F132" s="83"/>
    </row>
    <row r="133" spans="1:6" ht="34.5" x14ac:dyDescent="0.55000000000000004">
      <c r="A133" s="83">
        <v>169</v>
      </c>
      <c r="B133" s="83" t="s">
        <v>158</v>
      </c>
      <c r="C133" s="83">
        <v>528</v>
      </c>
      <c r="D133" s="83">
        <v>0</v>
      </c>
      <c r="E133" s="83"/>
      <c r="F133" s="83"/>
    </row>
    <row r="134" spans="1:6" ht="34.5" x14ac:dyDescent="0.55000000000000004">
      <c r="A134" s="83">
        <v>49</v>
      </c>
      <c r="B134" s="83" t="s">
        <v>159</v>
      </c>
      <c r="C134" s="83">
        <v>400</v>
      </c>
      <c r="D134" s="83">
        <v>0</v>
      </c>
      <c r="E134" s="83"/>
      <c r="F134" s="83"/>
    </row>
    <row r="135" spans="1:6" ht="34.5" x14ac:dyDescent="0.55000000000000004">
      <c r="A135" s="83">
        <v>166</v>
      </c>
      <c r="B135" s="83" t="s">
        <v>160</v>
      </c>
      <c r="C135" s="83">
        <v>420</v>
      </c>
      <c r="D135" s="83">
        <v>0</v>
      </c>
      <c r="E135" s="83"/>
      <c r="F135" s="83"/>
    </row>
    <row r="136" spans="1:6" ht="34.5" x14ac:dyDescent="0.55000000000000004">
      <c r="A136" s="83">
        <v>70</v>
      </c>
      <c r="B136" s="83" t="s">
        <v>111</v>
      </c>
      <c r="C136" s="83">
        <v>557</v>
      </c>
      <c r="D136" s="83">
        <v>0</v>
      </c>
      <c r="E136" s="83"/>
      <c r="F136" s="83"/>
    </row>
    <row r="137" spans="1:6" ht="34.5" x14ac:dyDescent="0.55000000000000004">
      <c r="A137" s="83" t="s">
        <v>161</v>
      </c>
      <c r="B137" s="83" t="s">
        <v>162</v>
      </c>
      <c r="C137" s="85">
        <v>182</v>
      </c>
      <c r="D137" s="85">
        <f>343-60-54-25-25</f>
        <v>179</v>
      </c>
      <c r="E137" s="86"/>
      <c r="F137" s="85"/>
    </row>
    <row r="138" spans="1:6" ht="34.5" x14ac:dyDescent="0.55000000000000004">
      <c r="A138" s="87"/>
      <c r="B138" s="88" t="s">
        <v>104</v>
      </c>
      <c r="C138" s="89">
        <f>SUM(C113:C137)</f>
        <v>4298.7299999999996</v>
      </c>
      <c r="D138" s="89">
        <f>SUM(D113:D137)</f>
        <v>1573.87</v>
      </c>
      <c r="E138" s="89"/>
      <c r="F138" s="89"/>
    </row>
    <row r="140" spans="1:6" ht="89.25" x14ac:dyDescent="2.2999999999999998">
      <c r="A140" s="288" t="s">
        <v>60</v>
      </c>
      <c r="B140" s="289"/>
      <c r="C140" s="289"/>
      <c r="D140" s="289"/>
      <c r="E140" s="290"/>
    </row>
    <row r="141" spans="1:6" ht="48" x14ac:dyDescent="1.25">
      <c r="A141" s="291" t="s">
        <v>165</v>
      </c>
      <c r="B141" s="292"/>
      <c r="C141" s="292"/>
      <c r="D141" s="292"/>
      <c r="E141" s="293"/>
    </row>
    <row r="142" spans="1:6" ht="34.5" x14ac:dyDescent="0.55000000000000004">
      <c r="A142" s="295" t="s">
        <v>106</v>
      </c>
      <c r="B142" s="296"/>
      <c r="C142" s="296"/>
      <c r="D142" s="296"/>
      <c r="E142" s="297"/>
    </row>
    <row r="143" spans="1:6" ht="34.5" x14ac:dyDescent="0.55000000000000004">
      <c r="A143" s="82" t="s">
        <v>64</v>
      </c>
      <c r="B143" s="82" t="s">
        <v>107</v>
      </c>
      <c r="C143" s="82" t="s">
        <v>109</v>
      </c>
      <c r="D143" s="82" t="s">
        <v>110</v>
      </c>
      <c r="E143" s="82" t="s">
        <v>70</v>
      </c>
    </row>
    <row r="144" spans="1:6" ht="34.5" x14ac:dyDescent="0.55000000000000004">
      <c r="A144" s="83">
        <v>49</v>
      </c>
      <c r="B144" s="83" t="s">
        <v>159</v>
      </c>
      <c r="C144" s="83">
        <v>727</v>
      </c>
      <c r="D144" s="83">
        <v>20</v>
      </c>
      <c r="E144" s="83">
        <f>C144+D144</f>
        <v>747</v>
      </c>
    </row>
    <row r="145" spans="1:5" ht="34.5" x14ac:dyDescent="0.55000000000000004">
      <c r="A145" s="83">
        <v>74</v>
      </c>
      <c r="B145" s="83" t="s">
        <v>112</v>
      </c>
      <c r="C145" s="83">
        <v>0</v>
      </c>
      <c r="D145" s="83">
        <f>274-75-100-25-74-100+100</f>
        <v>0</v>
      </c>
      <c r="E145" s="83">
        <f t="shared" ref="E145:E173" si="5">C145+D145</f>
        <v>0</v>
      </c>
    </row>
    <row r="146" spans="1:5" ht="34.5" x14ac:dyDescent="0.55000000000000004">
      <c r="A146" s="83">
        <v>23</v>
      </c>
      <c r="B146" s="83" t="s">
        <v>166</v>
      </c>
      <c r="C146" s="83">
        <v>49</v>
      </c>
      <c r="D146" s="83">
        <v>48</v>
      </c>
      <c r="E146" s="83">
        <f t="shared" si="5"/>
        <v>97</v>
      </c>
    </row>
    <row r="147" spans="1:5" ht="34.5" x14ac:dyDescent="0.55000000000000004">
      <c r="A147" s="83">
        <v>10</v>
      </c>
      <c r="B147" s="83" t="s">
        <v>120</v>
      </c>
      <c r="C147" s="83">
        <v>372</v>
      </c>
      <c r="D147" s="83">
        <v>318</v>
      </c>
      <c r="E147" s="83">
        <f t="shared" si="5"/>
        <v>690</v>
      </c>
    </row>
    <row r="148" spans="1:5" ht="34.5" x14ac:dyDescent="0.55000000000000004">
      <c r="A148" s="83">
        <v>157</v>
      </c>
      <c r="B148" s="83" t="s">
        <v>122</v>
      </c>
      <c r="C148" s="83">
        <v>0</v>
      </c>
      <c r="D148" s="83">
        <f>387-50-75-58-25</f>
        <v>179</v>
      </c>
      <c r="E148" s="83">
        <f t="shared" si="5"/>
        <v>179</v>
      </c>
    </row>
    <row r="149" spans="1:5" ht="34.5" x14ac:dyDescent="0.55000000000000004">
      <c r="A149" s="83">
        <v>68</v>
      </c>
      <c r="B149" s="83" t="s">
        <v>114</v>
      </c>
      <c r="C149" s="83">
        <v>75</v>
      </c>
      <c r="D149" s="83">
        <v>613</v>
      </c>
      <c r="E149" s="83">
        <f t="shared" si="5"/>
        <v>688</v>
      </c>
    </row>
    <row r="150" spans="1:5" ht="34.5" x14ac:dyDescent="0.55000000000000004">
      <c r="A150" s="83">
        <v>168</v>
      </c>
      <c r="B150" s="83" t="s">
        <v>167</v>
      </c>
      <c r="C150" s="83">
        <v>0</v>
      </c>
      <c r="D150" s="83">
        <v>100</v>
      </c>
      <c r="E150" s="83">
        <f t="shared" si="5"/>
        <v>100</v>
      </c>
    </row>
    <row r="151" spans="1:5" ht="34.5" x14ac:dyDescent="0.55000000000000004">
      <c r="A151" s="83">
        <v>170</v>
      </c>
      <c r="B151" s="83" t="s">
        <v>117</v>
      </c>
      <c r="C151" s="83">
        <v>0</v>
      </c>
      <c r="D151" s="83">
        <v>362</v>
      </c>
      <c r="E151" s="83">
        <f t="shared" si="5"/>
        <v>362</v>
      </c>
    </row>
    <row r="152" spans="1:5" ht="34.5" x14ac:dyDescent="0.55000000000000004">
      <c r="A152" s="83">
        <v>5</v>
      </c>
      <c r="B152" s="83" t="s">
        <v>26</v>
      </c>
      <c r="C152" s="83">
        <v>115</v>
      </c>
      <c r="D152" s="83">
        <f>55+192-28</f>
        <v>219</v>
      </c>
      <c r="E152" s="83">
        <f>C152+D152</f>
        <v>334</v>
      </c>
    </row>
    <row r="153" spans="1:5" ht="34.5" x14ac:dyDescent="0.55000000000000004">
      <c r="A153" s="83">
        <v>110</v>
      </c>
      <c r="B153" s="83" t="s">
        <v>168</v>
      </c>
      <c r="C153" s="83">
        <v>24</v>
      </c>
      <c r="D153" s="84">
        <v>84</v>
      </c>
      <c r="E153" s="83">
        <f t="shared" si="5"/>
        <v>108</v>
      </c>
    </row>
    <row r="154" spans="1:5" ht="34.5" x14ac:dyDescent="0.55000000000000004">
      <c r="A154" s="83">
        <v>171</v>
      </c>
      <c r="B154" s="83" t="s">
        <v>155</v>
      </c>
      <c r="C154" s="83">
        <v>236</v>
      </c>
      <c r="D154" s="83">
        <v>0</v>
      </c>
      <c r="E154" s="83">
        <f t="shared" si="5"/>
        <v>236</v>
      </c>
    </row>
    <row r="155" spans="1:5" ht="34.5" x14ac:dyDescent="0.55000000000000004">
      <c r="A155" s="84">
        <v>167</v>
      </c>
      <c r="B155" s="84" t="s">
        <v>111</v>
      </c>
      <c r="C155" s="84">
        <v>0</v>
      </c>
      <c r="D155" s="84">
        <v>93</v>
      </c>
      <c r="E155" s="83">
        <f t="shared" si="5"/>
        <v>93</v>
      </c>
    </row>
    <row r="156" spans="1:5" ht="34.5" x14ac:dyDescent="0.55000000000000004">
      <c r="A156" s="84">
        <v>71</v>
      </c>
      <c r="B156" s="84" t="s">
        <v>115</v>
      </c>
      <c r="C156" s="84">
        <v>56</v>
      </c>
      <c r="D156" s="84">
        <v>45</v>
      </c>
      <c r="E156" s="83">
        <f t="shared" si="5"/>
        <v>101</v>
      </c>
    </row>
    <row r="157" spans="1:5" ht="34.5" x14ac:dyDescent="0.55000000000000004">
      <c r="A157" s="84">
        <v>172</v>
      </c>
      <c r="B157" s="84" t="s">
        <v>117</v>
      </c>
      <c r="C157" s="84">
        <v>0</v>
      </c>
      <c r="D157" s="84">
        <v>32</v>
      </c>
      <c r="E157" s="83">
        <f t="shared" si="5"/>
        <v>32</v>
      </c>
    </row>
    <row r="158" spans="1:5" ht="34.5" x14ac:dyDescent="0.55000000000000004">
      <c r="A158" s="84">
        <v>63</v>
      </c>
      <c r="B158" s="84" t="s">
        <v>169</v>
      </c>
      <c r="C158" s="84">
        <v>533</v>
      </c>
      <c r="D158" s="84">
        <v>0</v>
      </c>
      <c r="E158" s="83">
        <f t="shared" si="5"/>
        <v>533</v>
      </c>
    </row>
    <row r="159" spans="1:5" ht="34.5" x14ac:dyDescent="0.55000000000000004">
      <c r="A159" s="84">
        <v>67</v>
      </c>
      <c r="B159" s="84" t="s">
        <v>111</v>
      </c>
      <c r="C159" s="84">
        <v>257</v>
      </c>
      <c r="D159" s="84">
        <v>0</v>
      </c>
      <c r="E159" s="83">
        <f t="shared" si="5"/>
        <v>257</v>
      </c>
    </row>
    <row r="160" spans="1:5" ht="34.5" x14ac:dyDescent="0.55000000000000004">
      <c r="A160" s="84">
        <v>166</v>
      </c>
      <c r="B160" s="84" t="s">
        <v>160</v>
      </c>
      <c r="C160" s="84">
        <v>0</v>
      </c>
      <c r="D160" s="84">
        <v>0</v>
      </c>
      <c r="E160" s="83">
        <f t="shared" si="5"/>
        <v>0</v>
      </c>
    </row>
    <row r="161" spans="1:5" ht="34.5" x14ac:dyDescent="0.55000000000000004">
      <c r="A161" s="84">
        <v>169</v>
      </c>
      <c r="B161" s="84" t="s">
        <v>158</v>
      </c>
      <c r="C161" s="84">
        <v>139</v>
      </c>
      <c r="D161" s="84">
        <v>0</v>
      </c>
      <c r="E161" s="83">
        <f t="shared" si="5"/>
        <v>139</v>
      </c>
    </row>
    <row r="162" spans="1:5" ht="34.5" x14ac:dyDescent="0.55000000000000004">
      <c r="A162" s="84">
        <v>125</v>
      </c>
      <c r="B162" s="84" t="s">
        <v>148</v>
      </c>
      <c r="C162" s="84">
        <v>924</v>
      </c>
      <c r="D162" s="84">
        <v>35</v>
      </c>
      <c r="E162" s="83">
        <f t="shared" si="5"/>
        <v>959</v>
      </c>
    </row>
    <row r="163" spans="1:5" ht="34.5" x14ac:dyDescent="0.55000000000000004">
      <c r="A163" s="84">
        <v>97</v>
      </c>
      <c r="B163" s="84" t="s">
        <v>114</v>
      </c>
      <c r="C163" s="84">
        <v>0</v>
      </c>
      <c r="D163" s="84">
        <v>68</v>
      </c>
      <c r="E163" s="83">
        <f t="shared" si="5"/>
        <v>68</v>
      </c>
    </row>
    <row r="164" spans="1:5" ht="34.5" x14ac:dyDescent="0.55000000000000004">
      <c r="A164" s="84">
        <v>158</v>
      </c>
      <c r="B164" s="84" t="s">
        <v>153</v>
      </c>
      <c r="C164" s="84">
        <v>0</v>
      </c>
      <c r="D164" s="84">
        <v>70</v>
      </c>
      <c r="E164" s="83">
        <f t="shared" si="5"/>
        <v>70</v>
      </c>
    </row>
    <row r="165" spans="1:5" ht="34.5" x14ac:dyDescent="0.55000000000000004">
      <c r="A165" s="84">
        <v>1</v>
      </c>
      <c r="B165" s="84" t="s">
        <v>170</v>
      </c>
      <c r="C165" s="84">
        <v>1580</v>
      </c>
      <c r="D165" s="84">
        <v>96</v>
      </c>
      <c r="E165" s="83">
        <f t="shared" si="5"/>
        <v>1676</v>
      </c>
    </row>
    <row r="166" spans="1:5" ht="34.5" x14ac:dyDescent="0.55000000000000004">
      <c r="A166" s="84">
        <v>70</v>
      </c>
      <c r="B166" s="84" t="s">
        <v>111</v>
      </c>
      <c r="C166" s="84">
        <v>0</v>
      </c>
      <c r="D166" s="84">
        <v>28</v>
      </c>
      <c r="E166" s="83">
        <f t="shared" si="5"/>
        <v>28</v>
      </c>
    </row>
    <row r="167" spans="1:5" ht="34.5" x14ac:dyDescent="0.55000000000000004">
      <c r="A167" s="84">
        <v>40381</v>
      </c>
      <c r="B167" s="84" t="s">
        <v>171</v>
      </c>
      <c r="C167" s="84">
        <v>0</v>
      </c>
      <c r="D167" s="84">
        <f>865-100-50-100-26-50-50-25</f>
        <v>464</v>
      </c>
      <c r="E167" s="83">
        <f t="shared" si="5"/>
        <v>464</v>
      </c>
    </row>
    <row r="168" spans="1:5" ht="34.5" x14ac:dyDescent="0.55000000000000004">
      <c r="A168" s="84" t="s">
        <v>172</v>
      </c>
      <c r="B168" s="84" t="s">
        <v>25</v>
      </c>
      <c r="C168" s="84">
        <v>0</v>
      </c>
      <c r="D168" s="84">
        <v>0</v>
      </c>
      <c r="E168" s="83">
        <f t="shared" si="5"/>
        <v>0</v>
      </c>
    </row>
    <row r="169" spans="1:5" ht="34.5" x14ac:dyDescent="0.55000000000000004">
      <c r="A169" s="84" t="s">
        <v>173</v>
      </c>
      <c r="B169" s="84" t="s">
        <v>25</v>
      </c>
      <c r="C169" s="84">
        <v>232</v>
      </c>
      <c r="D169" s="84">
        <v>2842</v>
      </c>
      <c r="E169" s="83">
        <f t="shared" si="5"/>
        <v>3074</v>
      </c>
    </row>
    <row r="170" spans="1:5" ht="48" x14ac:dyDescent="1.25">
      <c r="A170" s="63">
        <v>165</v>
      </c>
      <c r="B170" s="63" t="s">
        <v>174</v>
      </c>
      <c r="C170" s="84">
        <v>0</v>
      </c>
      <c r="D170" s="84">
        <v>124</v>
      </c>
      <c r="E170" s="83">
        <f t="shared" si="5"/>
        <v>124</v>
      </c>
    </row>
    <row r="171" spans="1:5" ht="48" x14ac:dyDescent="1.25">
      <c r="A171" s="63">
        <v>188</v>
      </c>
      <c r="B171" s="63" t="s">
        <v>151</v>
      </c>
      <c r="C171" s="84">
        <v>0</v>
      </c>
      <c r="D171" s="84">
        <v>17</v>
      </c>
      <c r="E171" s="83">
        <f t="shared" si="5"/>
        <v>17</v>
      </c>
    </row>
    <row r="172" spans="1:5" ht="48" x14ac:dyDescent="1.25">
      <c r="A172" s="60">
        <v>69</v>
      </c>
      <c r="B172" s="60" t="s">
        <v>175</v>
      </c>
      <c r="C172" s="84">
        <v>0</v>
      </c>
      <c r="D172" s="83">
        <v>19</v>
      </c>
      <c r="E172" s="83">
        <f t="shared" si="5"/>
        <v>19</v>
      </c>
    </row>
    <row r="173" spans="1:5" ht="48" x14ac:dyDescent="1.25">
      <c r="A173" s="60">
        <v>9</v>
      </c>
      <c r="B173" s="60" t="s">
        <v>157</v>
      </c>
      <c r="C173" s="84">
        <v>0</v>
      </c>
      <c r="D173" s="83">
        <v>0</v>
      </c>
      <c r="E173" s="83">
        <f t="shared" si="5"/>
        <v>0</v>
      </c>
    </row>
    <row r="174" spans="1:5" ht="34.5" x14ac:dyDescent="0.55000000000000004">
      <c r="A174" s="90"/>
      <c r="B174" s="91"/>
      <c r="C174" s="92">
        <f>SUM(C144:C173)</f>
        <v>5319</v>
      </c>
      <c r="D174" s="92">
        <f>SUM(D144:D173)</f>
        <v>5876</v>
      </c>
      <c r="E174" s="92">
        <f>C174+D174</f>
        <v>11195</v>
      </c>
    </row>
    <row r="176" spans="1:5" ht="89.25" x14ac:dyDescent="2.2999999999999998">
      <c r="A176" s="288" t="s">
        <v>60</v>
      </c>
      <c r="B176" s="289"/>
      <c r="C176" s="289"/>
      <c r="D176" s="289"/>
      <c r="E176" s="290"/>
    </row>
    <row r="177" spans="1:5" ht="48" x14ac:dyDescent="1.25">
      <c r="A177" s="291" t="s">
        <v>176</v>
      </c>
      <c r="B177" s="292"/>
      <c r="C177" s="292"/>
      <c r="D177" s="292"/>
      <c r="E177" s="293"/>
    </row>
    <row r="178" spans="1:5" ht="34.5" x14ac:dyDescent="0.55000000000000004">
      <c r="A178" s="298" t="s">
        <v>106</v>
      </c>
      <c r="B178" s="298"/>
      <c r="C178" s="298"/>
      <c r="D178" s="298"/>
      <c r="E178" s="298"/>
    </row>
    <row r="179" spans="1:5" ht="34.5" x14ac:dyDescent="0.55000000000000004">
      <c r="A179" s="82" t="s">
        <v>64</v>
      </c>
      <c r="B179" s="82" t="s">
        <v>107</v>
      </c>
      <c r="C179" s="82" t="s">
        <v>109</v>
      </c>
      <c r="D179" s="82" t="s">
        <v>110</v>
      </c>
      <c r="E179" s="82" t="s">
        <v>70</v>
      </c>
    </row>
    <row r="180" spans="1:5" ht="34.5" x14ac:dyDescent="0.55000000000000004">
      <c r="A180" s="83">
        <v>49</v>
      </c>
      <c r="B180" s="83" t="s">
        <v>159</v>
      </c>
      <c r="C180" s="83">
        <v>174</v>
      </c>
      <c r="D180" s="83">
        <v>0</v>
      </c>
      <c r="E180" s="83">
        <f>C180+D180</f>
        <v>174</v>
      </c>
    </row>
    <row r="181" spans="1:5" ht="34.5" x14ac:dyDescent="0.55000000000000004">
      <c r="A181" s="83">
        <v>5</v>
      </c>
      <c r="B181" s="83" t="s">
        <v>26</v>
      </c>
      <c r="C181" s="83">
        <v>0</v>
      </c>
      <c r="D181" s="83">
        <f>332-60-25-30</f>
        <v>217</v>
      </c>
      <c r="E181" s="83">
        <f t="shared" ref="E181:E203" si="6">C181+D181</f>
        <v>217</v>
      </c>
    </row>
    <row r="182" spans="1:5" ht="34.5" x14ac:dyDescent="0.55000000000000004">
      <c r="A182" s="83">
        <v>67</v>
      </c>
      <c r="B182" s="83" t="s">
        <v>154</v>
      </c>
      <c r="C182" s="83">
        <v>0</v>
      </c>
      <c r="D182" s="83">
        <v>23</v>
      </c>
      <c r="E182" s="83">
        <f t="shared" si="6"/>
        <v>23</v>
      </c>
    </row>
    <row r="183" spans="1:5" ht="34.5" x14ac:dyDescent="0.55000000000000004">
      <c r="A183" s="83">
        <v>169</v>
      </c>
      <c r="B183" s="83" t="s">
        <v>158</v>
      </c>
      <c r="C183" s="83">
        <v>29</v>
      </c>
      <c r="D183" s="83">
        <v>0</v>
      </c>
      <c r="E183" s="83">
        <f t="shared" si="6"/>
        <v>29</v>
      </c>
    </row>
    <row r="184" spans="1:5" ht="34.5" x14ac:dyDescent="0.55000000000000004">
      <c r="A184" s="83">
        <v>165</v>
      </c>
      <c r="B184" s="83" t="s">
        <v>177</v>
      </c>
      <c r="C184" s="83">
        <v>130</v>
      </c>
      <c r="D184" s="83">
        <v>0</v>
      </c>
      <c r="E184" s="83">
        <f t="shared" si="6"/>
        <v>130</v>
      </c>
    </row>
    <row r="185" spans="1:5" ht="34.5" x14ac:dyDescent="0.55000000000000004">
      <c r="A185" s="83">
        <v>74</v>
      </c>
      <c r="B185" s="83" t="s">
        <v>112</v>
      </c>
      <c r="C185" s="83">
        <v>0</v>
      </c>
      <c r="D185" s="83">
        <v>120</v>
      </c>
      <c r="E185" s="83">
        <f t="shared" si="6"/>
        <v>120</v>
      </c>
    </row>
    <row r="186" spans="1:5" ht="34.5" x14ac:dyDescent="0.55000000000000004">
      <c r="A186" s="83">
        <v>23</v>
      </c>
      <c r="B186" s="83" t="s">
        <v>178</v>
      </c>
      <c r="C186" s="83">
        <v>0</v>
      </c>
      <c r="D186" s="83">
        <v>50</v>
      </c>
      <c r="E186" s="83">
        <f t="shared" si="6"/>
        <v>50</v>
      </c>
    </row>
    <row r="187" spans="1:5" ht="34.5" x14ac:dyDescent="0.55000000000000004">
      <c r="A187" s="83">
        <v>170</v>
      </c>
      <c r="B187" s="83" t="s">
        <v>117</v>
      </c>
      <c r="C187" s="83">
        <v>0</v>
      </c>
      <c r="D187" s="83">
        <v>25</v>
      </c>
      <c r="E187" s="83">
        <f t="shared" si="6"/>
        <v>25</v>
      </c>
    </row>
    <row r="188" spans="1:5" ht="34.5" x14ac:dyDescent="0.55000000000000004">
      <c r="A188" s="83">
        <v>10</v>
      </c>
      <c r="B188" s="83" t="s">
        <v>120</v>
      </c>
      <c r="C188" s="83">
        <v>100</v>
      </c>
      <c r="D188" s="83">
        <v>600</v>
      </c>
      <c r="E188" s="83">
        <f>C188+D188</f>
        <v>700</v>
      </c>
    </row>
    <row r="189" spans="1:5" ht="34.5" x14ac:dyDescent="0.55000000000000004">
      <c r="A189" s="83">
        <v>157</v>
      </c>
      <c r="B189" s="83" t="s">
        <v>122</v>
      </c>
      <c r="C189" s="83">
        <v>0</v>
      </c>
      <c r="D189" s="83">
        <v>62</v>
      </c>
      <c r="E189" s="83">
        <f t="shared" si="6"/>
        <v>62</v>
      </c>
    </row>
    <row r="190" spans="1:5" ht="34.5" x14ac:dyDescent="0.55000000000000004">
      <c r="A190" s="83">
        <v>168</v>
      </c>
      <c r="B190" s="83" t="s">
        <v>167</v>
      </c>
      <c r="C190" s="83">
        <v>430</v>
      </c>
      <c r="D190" s="83">
        <v>0</v>
      </c>
      <c r="E190" s="83">
        <f t="shared" si="6"/>
        <v>430</v>
      </c>
    </row>
    <row r="191" spans="1:5" ht="34.5" x14ac:dyDescent="0.55000000000000004">
      <c r="A191" s="83">
        <v>68</v>
      </c>
      <c r="B191" s="83" t="s">
        <v>114</v>
      </c>
      <c r="C191" s="83">
        <v>0</v>
      </c>
      <c r="D191" s="83">
        <f>200-60-25-30</f>
        <v>85</v>
      </c>
      <c r="E191" s="83">
        <f t="shared" si="6"/>
        <v>85</v>
      </c>
    </row>
    <row r="192" spans="1:5" ht="34.5" x14ac:dyDescent="0.55000000000000004">
      <c r="A192" s="83">
        <v>167</v>
      </c>
      <c r="B192" s="83" t="s">
        <v>154</v>
      </c>
      <c r="C192" s="83">
        <v>542</v>
      </c>
      <c r="D192" s="83">
        <v>0</v>
      </c>
      <c r="E192" s="83">
        <f t="shared" si="6"/>
        <v>542</v>
      </c>
    </row>
    <row r="193" spans="1:5" ht="34.5" x14ac:dyDescent="0.55000000000000004">
      <c r="A193" s="83">
        <v>110</v>
      </c>
      <c r="B193" s="83" t="s">
        <v>168</v>
      </c>
      <c r="C193" s="83">
        <v>700</v>
      </c>
      <c r="D193" s="83">
        <v>0</v>
      </c>
      <c r="E193" s="83">
        <f t="shared" si="6"/>
        <v>700</v>
      </c>
    </row>
    <row r="194" spans="1:5" ht="34.5" x14ac:dyDescent="0.55000000000000004">
      <c r="A194" s="83">
        <v>71</v>
      </c>
      <c r="B194" s="83" t="s">
        <v>115</v>
      </c>
      <c r="C194" s="83">
        <v>487</v>
      </c>
      <c r="D194" s="83">
        <v>0</v>
      </c>
      <c r="E194" s="83">
        <f t="shared" si="6"/>
        <v>487</v>
      </c>
    </row>
    <row r="195" spans="1:5" ht="34.5" x14ac:dyDescent="0.55000000000000004">
      <c r="A195" s="83">
        <v>171</v>
      </c>
      <c r="B195" s="83" t="s">
        <v>155</v>
      </c>
      <c r="C195" s="83">
        <v>70</v>
      </c>
      <c r="D195" s="83">
        <v>203</v>
      </c>
      <c r="E195" s="83">
        <f t="shared" si="6"/>
        <v>273</v>
      </c>
    </row>
    <row r="196" spans="1:5" ht="34.5" x14ac:dyDescent="0.55000000000000004">
      <c r="A196" s="83">
        <v>63</v>
      </c>
      <c r="B196" s="83" t="s">
        <v>169</v>
      </c>
      <c r="C196" s="83">
        <v>165</v>
      </c>
      <c r="D196" s="83">
        <v>0</v>
      </c>
      <c r="E196" s="83">
        <f t="shared" si="6"/>
        <v>165</v>
      </c>
    </row>
    <row r="197" spans="1:5" ht="34.5" x14ac:dyDescent="0.55000000000000004">
      <c r="A197" s="83">
        <v>172</v>
      </c>
      <c r="B197" s="83" t="s">
        <v>117</v>
      </c>
      <c r="C197" s="83">
        <v>64</v>
      </c>
      <c r="D197" s="83">
        <v>116</v>
      </c>
      <c r="E197" s="83">
        <f t="shared" si="6"/>
        <v>180</v>
      </c>
    </row>
    <row r="198" spans="1:5" ht="34.5" x14ac:dyDescent="0.55000000000000004">
      <c r="A198" s="83">
        <v>166</v>
      </c>
      <c r="B198" s="83" t="s">
        <v>179</v>
      </c>
      <c r="C198" s="83">
        <v>170</v>
      </c>
      <c r="D198" s="83">
        <v>0</v>
      </c>
      <c r="E198" s="83">
        <f t="shared" si="6"/>
        <v>170</v>
      </c>
    </row>
    <row r="199" spans="1:5" ht="34.5" x14ac:dyDescent="0.55000000000000004">
      <c r="A199" s="83">
        <v>9</v>
      </c>
      <c r="B199" s="83" t="s">
        <v>157</v>
      </c>
      <c r="C199" s="83">
        <v>601</v>
      </c>
      <c r="D199" s="83">
        <v>158</v>
      </c>
      <c r="E199" s="83">
        <f t="shared" si="6"/>
        <v>759</v>
      </c>
    </row>
    <row r="200" spans="1:5" ht="34.5" x14ac:dyDescent="0.55000000000000004">
      <c r="A200" s="83">
        <v>69</v>
      </c>
      <c r="B200" s="83" t="s">
        <v>113</v>
      </c>
      <c r="C200" s="83">
        <v>387</v>
      </c>
      <c r="D200" s="83">
        <v>0</v>
      </c>
      <c r="E200" s="83">
        <f t="shared" si="6"/>
        <v>387</v>
      </c>
    </row>
    <row r="201" spans="1:5" ht="34.5" x14ac:dyDescent="0.55000000000000004">
      <c r="A201" s="83">
        <v>125</v>
      </c>
      <c r="B201" s="83" t="s">
        <v>148</v>
      </c>
      <c r="C201" s="83">
        <v>180</v>
      </c>
      <c r="D201" s="83">
        <v>0</v>
      </c>
      <c r="E201" s="83">
        <f t="shared" si="6"/>
        <v>180</v>
      </c>
    </row>
    <row r="202" spans="1:5" ht="34.5" x14ac:dyDescent="0.55000000000000004">
      <c r="A202" s="83" t="s">
        <v>180</v>
      </c>
      <c r="B202" s="83" t="s">
        <v>181</v>
      </c>
      <c r="C202" s="85">
        <v>0</v>
      </c>
      <c r="D202" s="83">
        <v>175</v>
      </c>
      <c r="E202" s="83">
        <f t="shared" si="6"/>
        <v>175</v>
      </c>
    </row>
    <row r="203" spans="1:5" ht="34.5" x14ac:dyDescent="0.55000000000000004">
      <c r="A203" s="87"/>
      <c r="B203" s="88" t="s">
        <v>104</v>
      </c>
      <c r="C203" s="89">
        <f>SUM(C180:C202)</f>
        <v>4229</v>
      </c>
      <c r="D203" s="89">
        <f>SUM(D180:D202)</f>
        <v>1834</v>
      </c>
      <c r="E203" s="92">
        <f t="shared" si="6"/>
        <v>6063</v>
      </c>
    </row>
    <row r="205" spans="1:5" ht="89.25" x14ac:dyDescent="2.2999999999999998">
      <c r="A205" s="288" t="s">
        <v>60</v>
      </c>
      <c r="B205" s="289"/>
      <c r="C205" s="289"/>
      <c r="D205" s="289"/>
      <c r="E205" s="290"/>
    </row>
    <row r="206" spans="1:5" ht="48" x14ac:dyDescent="1.25">
      <c r="A206" s="291" t="s">
        <v>182</v>
      </c>
      <c r="B206" s="292"/>
      <c r="C206" s="292"/>
      <c r="D206" s="292"/>
      <c r="E206" s="293"/>
    </row>
    <row r="207" spans="1:5" ht="33.75" x14ac:dyDescent="0.9">
      <c r="A207" s="294" t="s">
        <v>106</v>
      </c>
      <c r="B207" s="294"/>
      <c r="C207" s="294"/>
      <c r="D207" s="294"/>
      <c r="E207" s="294"/>
    </row>
    <row r="208" spans="1:5" ht="33.75" x14ac:dyDescent="0.9">
      <c r="A208" s="97" t="s">
        <v>64</v>
      </c>
      <c r="B208" s="97" t="s">
        <v>107</v>
      </c>
      <c r="C208" s="97" t="s">
        <v>109</v>
      </c>
      <c r="D208" s="97" t="s">
        <v>110</v>
      </c>
      <c r="E208" s="97" t="s">
        <v>70</v>
      </c>
    </row>
    <row r="209" spans="1:5" ht="33.75" x14ac:dyDescent="0.9">
      <c r="A209" s="94">
        <v>67</v>
      </c>
      <c r="B209" s="94" t="s">
        <v>154</v>
      </c>
      <c r="C209" s="94">
        <v>624</v>
      </c>
      <c r="D209" s="94">
        <v>60</v>
      </c>
      <c r="E209" s="94">
        <f>C209+D209</f>
        <v>684</v>
      </c>
    </row>
    <row r="210" spans="1:5" ht="33.75" x14ac:dyDescent="0.9">
      <c r="A210" s="94">
        <v>5</v>
      </c>
      <c r="B210" s="94" t="s">
        <v>26</v>
      </c>
      <c r="C210" s="94">
        <v>0</v>
      </c>
      <c r="D210" s="94">
        <v>28</v>
      </c>
      <c r="E210" s="94">
        <f t="shared" ref="E210:E234" si="7">C210+D210</f>
        <v>28</v>
      </c>
    </row>
    <row r="211" spans="1:5" ht="33.75" x14ac:dyDescent="0.9">
      <c r="A211" s="94">
        <v>1</v>
      </c>
      <c r="B211" s="94" t="s">
        <v>183</v>
      </c>
      <c r="C211" s="94">
        <v>500</v>
      </c>
      <c r="D211" s="94">
        <v>81</v>
      </c>
      <c r="E211" s="94">
        <f t="shared" si="7"/>
        <v>581</v>
      </c>
    </row>
    <row r="212" spans="1:5" ht="33.75" x14ac:dyDescent="0.9">
      <c r="A212" s="94">
        <v>170</v>
      </c>
      <c r="B212" s="94" t="s">
        <v>150</v>
      </c>
      <c r="C212" s="94">
        <v>564</v>
      </c>
      <c r="D212" s="94">
        <v>10</v>
      </c>
      <c r="E212" s="94">
        <f t="shared" si="7"/>
        <v>574</v>
      </c>
    </row>
    <row r="213" spans="1:5" ht="33.75" x14ac:dyDescent="0.9">
      <c r="A213" s="94" t="s">
        <v>25</v>
      </c>
      <c r="B213" s="94" t="s">
        <v>184</v>
      </c>
      <c r="C213" s="94">
        <v>0</v>
      </c>
      <c r="D213" s="94">
        <v>482</v>
      </c>
      <c r="E213" s="94">
        <f t="shared" si="7"/>
        <v>482</v>
      </c>
    </row>
    <row r="214" spans="1:5" ht="33.75" x14ac:dyDescent="0.9">
      <c r="A214" s="94">
        <v>74</v>
      </c>
      <c r="B214" s="94" t="s">
        <v>112</v>
      </c>
      <c r="C214" s="94">
        <v>800</v>
      </c>
      <c r="D214" s="94">
        <v>54</v>
      </c>
      <c r="E214" s="94">
        <f t="shared" si="7"/>
        <v>854</v>
      </c>
    </row>
    <row r="215" spans="1:5" ht="33.75" x14ac:dyDescent="0.9">
      <c r="A215" s="94">
        <v>10</v>
      </c>
      <c r="B215" s="94" t="s">
        <v>120</v>
      </c>
      <c r="C215" s="94">
        <v>0</v>
      </c>
      <c r="D215" s="94">
        <v>240</v>
      </c>
      <c r="E215" s="94">
        <f t="shared" si="7"/>
        <v>240</v>
      </c>
    </row>
    <row r="216" spans="1:5" ht="33.75" x14ac:dyDescent="0.9">
      <c r="A216" s="94">
        <v>157</v>
      </c>
      <c r="B216" s="94" t="s">
        <v>122</v>
      </c>
      <c r="C216" s="94">
        <v>485</v>
      </c>
      <c r="D216" s="94">
        <v>0</v>
      </c>
      <c r="E216" s="94">
        <f t="shared" si="7"/>
        <v>485</v>
      </c>
    </row>
    <row r="217" spans="1:5" ht="33.75" x14ac:dyDescent="0.9">
      <c r="A217" s="94">
        <v>168</v>
      </c>
      <c r="B217" s="94" t="s">
        <v>185</v>
      </c>
      <c r="C217" s="94">
        <v>297</v>
      </c>
      <c r="D217" s="94">
        <v>0</v>
      </c>
      <c r="E217" s="94">
        <f t="shared" si="7"/>
        <v>297</v>
      </c>
    </row>
    <row r="218" spans="1:5" ht="33.75" x14ac:dyDescent="0.9">
      <c r="A218" s="94">
        <v>68</v>
      </c>
      <c r="B218" s="94" t="s">
        <v>114</v>
      </c>
      <c r="C218" s="94">
        <v>60</v>
      </c>
      <c r="D218" s="94">
        <v>54</v>
      </c>
      <c r="E218" s="94">
        <f t="shared" si="7"/>
        <v>114</v>
      </c>
    </row>
    <row r="219" spans="1:5" ht="33.75" x14ac:dyDescent="0.9">
      <c r="A219" s="94">
        <v>110</v>
      </c>
      <c r="B219" s="94" t="s">
        <v>186</v>
      </c>
      <c r="C219" s="94">
        <v>1054</v>
      </c>
      <c r="D219" s="94">
        <v>0</v>
      </c>
      <c r="E219" s="94">
        <f t="shared" si="7"/>
        <v>1054</v>
      </c>
    </row>
    <row r="220" spans="1:5" ht="33.75" x14ac:dyDescent="0.9">
      <c r="A220" s="94">
        <v>71</v>
      </c>
      <c r="B220" s="94" t="s">
        <v>115</v>
      </c>
      <c r="C220" s="94">
        <v>1094</v>
      </c>
      <c r="D220" s="94">
        <v>0</v>
      </c>
      <c r="E220" s="94">
        <f t="shared" si="7"/>
        <v>1094</v>
      </c>
    </row>
    <row r="221" spans="1:5" ht="33.75" x14ac:dyDescent="0.9">
      <c r="A221" s="94">
        <v>166</v>
      </c>
      <c r="B221" s="94" t="s">
        <v>187</v>
      </c>
      <c r="C221" s="94">
        <v>420</v>
      </c>
      <c r="D221" s="94">
        <v>0</v>
      </c>
      <c r="E221" s="94">
        <f t="shared" si="7"/>
        <v>420</v>
      </c>
    </row>
    <row r="222" spans="1:5" ht="33.75" x14ac:dyDescent="0.9">
      <c r="A222" s="94">
        <v>63</v>
      </c>
      <c r="B222" s="94" t="s">
        <v>188</v>
      </c>
      <c r="C222" s="94">
        <v>922</v>
      </c>
      <c r="D222" s="94">
        <v>0</v>
      </c>
      <c r="E222" s="94">
        <f t="shared" si="7"/>
        <v>922</v>
      </c>
    </row>
    <row r="223" spans="1:5" ht="33.75" x14ac:dyDescent="0.9">
      <c r="A223" s="94">
        <v>167</v>
      </c>
      <c r="B223" s="94" t="s">
        <v>154</v>
      </c>
      <c r="C223" s="94">
        <v>761</v>
      </c>
      <c r="D223" s="94">
        <v>41</v>
      </c>
      <c r="E223" s="94">
        <f t="shared" si="7"/>
        <v>802</v>
      </c>
    </row>
    <row r="224" spans="1:5" ht="33.75" x14ac:dyDescent="0.9">
      <c r="A224" s="98">
        <v>169</v>
      </c>
      <c r="B224" s="94" t="s">
        <v>189</v>
      </c>
      <c r="C224" s="94">
        <v>928</v>
      </c>
      <c r="D224" s="94">
        <v>0</v>
      </c>
      <c r="E224" s="94">
        <f t="shared" si="7"/>
        <v>928</v>
      </c>
    </row>
    <row r="225" spans="1:5" ht="33.75" x14ac:dyDescent="0.9">
      <c r="A225" s="98">
        <v>69</v>
      </c>
      <c r="B225" s="94" t="s">
        <v>113</v>
      </c>
      <c r="C225" s="94">
        <v>751</v>
      </c>
      <c r="D225" s="94">
        <v>0</v>
      </c>
      <c r="E225" s="94">
        <f t="shared" si="7"/>
        <v>751</v>
      </c>
    </row>
    <row r="226" spans="1:5" ht="33.75" x14ac:dyDescent="0.9">
      <c r="A226" s="98">
        <v>125</v>
      </c>
      <c r="B226" s="94" t="s">
        <v>148</v>
      </c>
      <c r="C226" s="94">
        <f>906-29-30</f>
        <v>847</v>
      </c>
      <c r="D226" s="94">
        <v>0</v>
      </c>
      <c r="E226" s="94">
        <f t="shared" si="7"/>
        <v>847</v>
      </c>
    </row>
    <row r="227" spans="1:5" ht="33.75" x14ac:dyDescent="0.9">
      <c r="A227" s="98">
        <v>9</v>
      </c>
      <c r="B227" s="94" t="s">
        <v>190</v>
      </c>
      <c r="C227" s="94">
        <v>316</v>
      </c>
      <c r="D227" s="94">
        <v>0</v>
      </c>
      <c r="E227" s="94">
        <f t="shared" si="7"/>
        <v>316</v>
      </c>
    </row>
    <row r="228" spans="1:5" ht="33.75" x14ac:dyDescent="0.9">
      <c r="A228" s="98">
        <v>172</v>
      </c>
      <c r="B228" s="94" t="s">
        <v>150</v>
      </c>
      <c r="C228" s="94">
        <v>300</v>
      </c>
      <c r="D228" s="94">
        <v>25</v>
      </c>
      <c r="E228" s="94">
        <f t="shared" si="7"/>
        <v>325</v>
      </c>
    </row>
    <row r="229" spans="1:5" ht="33.75" x14ac:dyDescent="0.9">
      <c r="A229" s="98">
        <v>171</v>
      </c>
      <c r="B229" s="98" t="s">
        <v>155</v>
      </c>
      <c r="C229" s="98">
        <v>570</v>
      </c>
      <c r="D229" s="98">
        <v>25</v>
      </c>
      <c r="E229" s="94">
        <f t="shared" si="7"/>
        <v>595</v>
      </c>
    </row>
    <row r="230" spans="1:5" ht="33.75" x14ac:dyDescent="0.9">
      <c r="A230" s="94">
        <v>23</v>
      </c>
      <c r="B230" s="94" t="s">
        <v>166</v>
      </c>
      <c r="C230" s="99">
        <v>30</v>
      </c>
      <c r="D230" s="94">
        <v>84</v>
      </c>
      <c r="E230" s="94">
        <f t="shared" si="7"/>
        <v>114</v>
      </c>
    </row>
    <row r="231" spans="1:5" ht="33.75" x14ac:dyDescent="0.9">
      <c r="A231" s="93">
        <v>165</v>
      </c>
      <c r="B231" s="93" t="s">
        <v>174</v>
      </c>
      <c r="C231" s="100">
        <v>0</v>
      </c>
      <c r="D231" s="100">
        <v>0</v>
      </c>
      <c r="E231" s="94">
        <f t="shared" si="7"/>
        <v>0</v>
      </c>
    </row>
    <row r="232" spans="1:5" ht="33.75" x14ac:dyDescent="0.9">
      <c r="A232" s="94" t="s">
        <v>191</v>
      </c>
      <c r="B232" s="94" t="s">
        <v>192</v>
      </c>
      <c r="C232" s="98">
        <v>0</v>
      </c>
      <c r="D232" s="98">
        <v>62</v>
      </c>
      <c r="E232" s="94">
        <f t="shared" si="7"/>
        <v>62</v>
      </c>
    </row>
    <row r="233" spans="1:5" ht="26.25" x14ac:dyDescent="0.55000000000000004">
      <c r="A233" s="95">
        <v>300</v>
      </c>
      <c r="B233" s="95" t="s">
        <v>193</v>
      </c>
      <c r="C233" s="96">
        <v>0</v>
      </c>
      <c r="D233" s="96">
        <v>532</v>
      </c>
      <c r="E233" s="96">
        <f>C233+D233</f>
        <v>532</v>
      </c>
    </row>
    <row r="234" spans="1:5" ht="33.75" x14ac:dyDescent="0.9">
      <c r="A234" s="101"/>
      <c r="B234" s="102" t="s">
        <v>104</v>
      </c>
      <c r="C234" s="103">
        <f>SUM(C209:C232)</f>
        <v>11323</v>
      </c>
      <c r="D234" s="103">
        <f>SUM(D209:D232)</f>
        <v>1246</v>
      </c>
      <c r="E234" s="104">
        <f t="shared" si="7"/>
        <v>12569</v>
      </c>
    </row>
  </sheetData>
  <mergeCells count="28">
    <mergeCell ref="A1:G1"/>
    <mergeCell ref="F2:G2"/>
    <mergeCell ref="A47:F47"/>
    <mergeCell ref="A48:F48"/>
    <mergeCell ref="A49:F49"/>
    <mergeCell ref="A2:B2"/>
    <mergeCell ref="C2:E2"/>
    <mergeCell ref="A111:F111"/>
    <mergeCell ref="A71:F71"/>
    <mergeCell ref="A72:F72"/>
    <mergeCell ref="A73:F73"/>
    <mergeCell ref="A83:F83"/>
    <mergeCell ref="A84:F84"/>
    <mergeCell ref="A85:F85"/>
    <mergeCell ref="A98:F98"/>
    <mergeCell ref="A99:F99"/>
    <mergeCell ref="A100:F100"/>
    <mergeCell ref="A109:F109"/>
    <mergeCell ref="A110:F110"/>
    <mergeCell ref="A205:E205"/>
    <mergeCell ref="A206:E206"/>
    <mergeCell ref="A207:E207"/>
    <mergeCell ref="A140:E140"/>
    <mergeCell ref="A141:E141"/>
    <mergeCell ref="A142:E142"/>
    <mergeCell ref="A176:E176"/>
    <mergeCell ref="A177:E177"/>
    <mergeCell ref="A178:E17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7"/>
  <sheetViews>
    <sheetView topLeftCell="A47" workbookViewId="0">
      <selection activeCell="C55" sqref="C55"/>
    </sheetView>
  </sheetViews>
  <sheetFormatPr defaultRowHeight="21" x14ac:dyDescent="0.55000000000000004"/>
  <cols>
    <col min="1" max="1" width="6.88671875" bestFit="1" customWidth="1"/>
    <col min="2" max="2" width="24" bestFit="1" customWidth="1"/>
    <col min="3" max="3" width="13.33203125" customWidth="1"/>
    <col min="4" max="4" width="6.88671875" bestFit="1" customWidth="1"/>
    <col min="5" max="5" width="25.5546875" bestFit="1" customWidth="1"/>
    <col min="6" max="6" width="15.33203125" customWidth="1"/>
  </cols>
  <sheetData>
    <row r="1" spans="1:6" x14ac:dyDescent="0.55000000000000004">
      <c r="A1" s="306" t="s">
        <v>211</v>
      </c>
      <c r="B1" s="307"/>
      <c r="C1" s="307"/>
      <c r="D1" s="307"/>
      <c r="E1" s="307"/>
      <c r="F1" s="308"/>
    </row>
    <row r="2" spans="1:6" x14ac:dyDescent="0.55000000000000004">
      <c r="A2" s="309"/>
      <c r="B2" s="310"/>
      <c r="C2" s="310"/>
      <c r="D2" s="310"/>
      <c r="E2" s="310"/>
      <c r="F2" s="311"/>
    </row>
    <row r="3" spans="1:6" ht="28.5" x14ac:dyDescent="0.55000000000000004">
      <c r="A3" s="312" t="s">
        <v>435</v>
      </c>
      <c r="B3" s="313"/>
      <c r="C3" s="313"/>
      <c r="D3" s="313"/>
      <c r="E3" s="313"/>
      <c r="F3" s="314"/>
    </row>
    <row r="4" spans="1:6" ht="52.5" x14ac:dyDescent="0.55000000000000004">
      <c r="A4" s="123" t="s">
        <v>212</v>
      </c>
      <c r="B4" s="124" t="s">
        <v>197</v>
      </c>
      <c r="C4" s="123" t="s">
        <v>213</v>
      </c>
      <c r="D4" s="124" t="s">
        <v>212</v>
      </c>
      <c r="E4" s="123" t="s">
        <v>197</v>
      </c>
      <c r="F4" s="124" t="s">
        <v>213</v>
      </c>
    </row>
    <row r="5" spans="1:6" ht="26.25" x14ac:dyDescent="0.7">
      <c r="A5" s="125">
        <v>1</v>
      </c>
      <c r="B5" s="126" t="s">
        <v>214</v>
      </c>
      <c r="C5" s="127">
        <v>15</v>
      </c>
      <c r="D5" s="128">
        <v>28</v>
      </c>
      <c r="E5" s="126" t="s">
        <v>215</v>
      </c>
      <c r="F5" s="129">
        <v>15</v>
      </c>
    </row>
    <row r="6" spans="1:6" ht="26.25" x14ac:dyDescent="0.7">
      <c r="A6" s="125">
        <v>2</v>
      </c>
      <c r="B6" s="126" t="s">
        <v>216</v>
      </c>
      <c r="C6" s="130">
        <v>15</v>
      </c>
      <c r="D6" s="128">
        <v>29</v>
      </c>
      <c r="E6" s="126" t="s">
        <v>217</v>
      </c>
      <c r="F6" s="129">
        <v>15</v>
      </c>
    </row>
    <row r="7" spans="1:6" ht="26.25" x14ac:dyDescent="0.7">
      <c r="A7" s="125">
        <v>3</v>
      </c>
      <c r="B7" s="128" t="s">
        <v>218</v>
      </c>
      <c r="C7" s="130">
        <v>15</v>
      </c>
      <c r="D7" s="128">
        <v>30</v>
      </c>
      <c r="E7" s="126" t="s">
        <v>219</v>
      </c>
      <c r="F7" s="129">
        <v>15</v>
      </c>
    </row>
    <row r="8" spans="1:6" ht="26.25" x14ac:dyDescent="0.7">
      <c r="A8" s="125">
        <v>4</v>
      </c>
      <c r="B8" s="126" t="s">
        <v>220</v>
      </c>
      <c r="C8" s="127">
        <v>15</v>
      </c>
      <c r="D8" s="128">
        <v>31</v>
      </c>
      <c r="E8" s="126" t="s">
        <v>221</v>
      </c>
      <c r="F8" s="129">
        <v>15</v>
      </c>
    </row>
    <row r="9" spans="1:6" ht="26.25" x14ac:dyDescent="0.7">
      <c r="A9" s="125">
        <v>5</v>
      </c>
      <c r="B9" s="126" t="s">
        <v>222</v>
      </c>
      <c r="C9" s="127">
        <v>15</v>
      </c>
      <c r="D9" s="128">
        <v>32</v>
      </c>
      <c r="E9" s="126" t="s">
        <v>223</v>
      </c>
      <c r="F9" s="129">
        <v>15</v>
      </c>
    </row>
    <row r="10" spans="1:6" ht="26.25" x14ac:dyDescent="0.7">
      <c r="A10" s="125">
        <v>6</v>
      </c>
      <c r="B10" s="126" t="s">
        <v>224</v>
      </c>
      <c r="C10" s="127">
        <v>15</v>
      </c>
      <c r="D10" s="128">
        <v>33</v>
      </c>
      <c r="E10" s="126" t="s">
        <v>225</v>
      </c>
      <c r="F10" s="129">
        <v>15</v>
      </c>
    </row>
    <row r="11" spans="1:6" ht="26.25" x14ac:dyDescent="0.7">
      <c r="A11" s="125">
        <v>7</v>
      </c>
      <c r="B11" s="126" t="s">
        <v>226</v>
      </c>
      <c r="C11" s="127">
        <v>15</v>
      </c>
      <c r="D11" s="128">
        <v>34</v>
      </c>
      <c r="E11" s="126" t="s">
        <v>227</v>
      </c>
      <c r="F11" s="129">
        <v>15</v>
      </c>
    </row>
    <row r="12" spans="1:6" ht="26.25" x14ac:dyDescent="0.7">
      <c r="A12" s="125">
        <v>8</v>
      </c>
      <c r="B12" s="126" t="s">
        <v>226</v>
      </c>
      <c r="C12" s="127">
        <v>15</v>
      </c>
      <c r="D12" s="128">
        <v>35</v>
      </c>
      <c r="E12" s="126" t="s">
        <v>228</v>
      </c>
      <c r="F12" s="129">
        <v>15</v>
      </c>
    </row>
    <row r="13" spans="1:6" ht="26.25" x14ac:dyDescent="0.7">
      <c r="A13" s="125">
        <v>9</v>
      </c>
      <c r="B13" s="126" t="s">
        <v>226</v>
      </c>
      <c r="C13" s="130">
        <v>15</v>
      </c>
      <c r="D13" s="128">
        <v>36</v>
      </c>
      <c r="E13" s="126" t="s">
        <v>229</v>
      </c>
      <c r="F13" s="129">
        <v>15</v>
      </c>
    </row>
    <row r="14" spans="1:6" ht="26.25" x14ac:dyDescent="0.7">
      <c r="A14" s="125">
        <v>10</v>
      </c>
      <c r="B14" s="126" t="s">
        <v>230</v>
      </c>
      <c r="C14" s="127">
        <v>15</v>
      </c>
      <c r="D14" s="128">
        <v>37</v>
      </c>
      <c r="E14" s="126" t="s">
        <v>219</v>
      </c>
      <c r="F14" s="127">
        <v>15</v>
      </c>
    </row>
    <row r="15" spans="1:6" ht="26.25" x14ac:dyDescent="0.7">
      <c r="A15" s="125">
        <v>11</v>
      </c>
      <c r="B15" s="126" t="s">
        <v>231</v>
      </c>
      <c r="C15" s="127">
        <v>15</v>
      </c>
      <c r="D15" s="128">
        <v>38</v>
      </c>
      <c r="E15" s="126" t="s">
        <v>232</v>
      </c>
      <c r="F15" s="127">
        <v>15</v>
      </c>
    </row>
    <row r="16" spans="1:6" ht="26.25" x14ac:dyDescent="0.7">
      <c r="A16" s="125">
        <v>12</v>
      </c>
      <c r="B16" s="126" t="s">
        <v>233</v>
      </c>
      <c r="C16" s="127">
        <v>15</v>
      </c>
      <c r="D16" s="128">
        <v>39</v>
      </c>
      <c r="E16" s="126" t="s">
        <v>234</v>
      </c>
      <c r="F16" s="127">
        <v>15</v>
      </c>
    </row>
    <row r="17" spans="1:6" ht="26.25" x14ac:dyDescent="0.7">
      <c r="A17" s="125">
        <v>13</v>
      </c>
      <c r="B17" s="126" t="s">
        <v>235</v>
      </c>
      <c r="C17" s="127">
        <v>15</v>
      </c>
      <c r="D17" s="128">
        <v>40</v>
      </c>
      <c r="E17" s="126" t="s">
        <v>219</v>
      </c>
      <c r="F17" s="127">
        <v>15</v>
      </c>
    </row>
    <row r="18" spans="1:6" ht="26.25" x14ac:dyDescent="0.7">
      <c r="A18" s="125">
        <v>14</v>
      </c>
      <c r="B18" s="126" t="s">
        <v>236</v>
      </c>
      <c r="C18" s="127">
        <v>15</v>
      </c>
      <c r="D18" s="128">
        <v>41</v>
      </c>
      <c r="E18" s="126" t="s">
        <v>219</v>
      </c>
      <c r="F18" s="127">
        <v>15</v>
      </c>
    </row>
    <row r="19" spans="1:6" ht="26.25" x14ac:dyDescent="0.7">
      <c r="A19" s="125">
        <v>15</v>
      </c>
      <c r="B19" s="126" t="s">
        <v>237</v>
      </c>
      <c r="C19" s="127">
        <v>15</v>
      </c>
      <c r="D19" s="128">
        <v>42</v>
      </c>
      <c r="E19" s="126" t="s">
        <v>226</v>
      </c>
      <c r="F19" s="127">
        <v>15</v>
      </c>
    </row>
    <row r="20" spans="1:6" ht="26.25" x14ac:dyDescent="0.7">
      <c r="A20" s="125">
        <v>16</v>
      </c>
      <c r="B20" s="126" t="s">
        <v>226</v>
      </c>
      <c r="C20" s="127">
        <v>15</v>
      </c>
      <c r="D20" s="128">
        <v>43</v>
      </c>
      <c r="E20" s="126" t="s">
        <v>238</v>
      </c>
      <c r="F20" s="127">
        <v>15</v>
      </c>
    </row>
    <row r="21" spans="1:6" ht="26.25" x14ac:dyDescent="0.7">
      <c r="A21" s="125">
        <v>17</v>
      </c>
      <c r="B21" s="126" t="s">
        <v>239</v>
      </c>
      <c r="C21" s="127">
        <v>15</v>
      </c>
      <c r="D21" s="128">
        <v>44</v>
      </c>
      <c r="E21" s="126" t="s">
        <v>240</v>
      </c>
      <c r="F21" s="127">
        <v>15</v>
      </c>
    </row>
    <row r="22" spans="1:6" ht="26.25" x14ac:dyDescent="0.7">
      <c r="A22" s="125">
        <v>18</v>
      </c>
      <c r="B22" s="126" t="s">
        <v>241</v>
      </c>
      <c r="C22" s="127">
        <v>15</v>
      </c>
      <c r="D22" s="128">
        <v>45</v>
      </c>
      <c r="E22" s="126" t="s">
        <v>242</v>
      </c>
      <c r="F22" s="127">
        <v>15</v>
      </c>
    </row>
    <row r="23" spans="1:6" ht="26.25" x14ac:dyDescent="0.7">
      <c r="A23" s="125">
        <v>19</v>
      </c>
      <c r="B23" s="126" t="s">
        <v>243</v>
      </c>
      <c r="C23" s="127">
        <v>15</v>
      </c>
      <c r="D23" s="128">
        <v>46</v>
      </c>
      <c r="E23" s="126" t="s">
        <v>244</v>
      </c>
      <c r="F23" s="127">
        <v>15</v>
      </c>
    </row>
    <row r="24" spans="1:6" ht="26.25" x14ac:dyDescent="0.7">
      <c r="A24" s="125">
        <v>20</v>
      </c>
      <c r="B24" s="126" t="s">
        <v>245</v>
      </c>
      <c r="C24" s="127">
        <v>15</v>
      </c>
      <c r="D24" s="128">
        <v>47</v>
      </c>
      <c r="E24" s="126" t="s">
        <v>246</v>
      </c>
      <c r="F24" s="127">
        <v>15</v>
      </c>
    </row>
    <row r="25" spans="1:6" ht="26.25" x14ac:dyDescent="0.7">
      <c r="A25" s="125">
        <v>21</v>
      </c>
      <c r="B25" s="126" t="s">
        <v>247</v>
      </c>
      <c r="C25" s="127">
        <v>15</v>
      </c>
      <c r="D25" s="128">
        <v>48</v>
      </c>
      <c r="E25" s="126" t="s">
        <v>248</v>
      </c>
      <c r="F25" s="127">
        <v>15</v>
      </c>
    </row>
    <row r="26" spans="1:6" ht="26.25" x14ac:dyDescent="0.7">
      <c r="A26" s="125">
        <v>22</v>
      </c>
      <c r="B26" s="126" t="s">
        <v>218</v>
      </c>
      <c r="C26" s="131">
        <v>15</v>
      </c>
      <c r="D26" s="128">
        <v>89</v>
      </c>
      <c r="E26" s="126" t="s">
        <v>249</v>
      </c>
      <c r="F26" s="127" t="s">
        <v>250</v>
      </c>
    </row>
    <row r="27" spans="1:6" ht="26.25" x14ac:dyDescent="0.7">
      <c r="A27" s="125">
        <v>23</v>
      </c>
      <c r="B27" s="126" t="s">
        <v>251</v>
      </c>
      <c r="C27" s="129">
        <v>15</v>
      </c>
      <c r="D27" s="128">
        <v>90</v>
      </c>
      <c r="E27" s="126" t="s">
        <v>221</v>
      </c>
      <c r="F27" s="127" t="s">
        <v>250</v>
      </c>
    </row>
    <row r="28" spans="1:6" ht="26.25" x14ac:dyDescent="0.65">
      <c r="A28" s="128">
        <v>24</v>
      </c>
      <c r="B28" s="126" t="s">
        <v>230</v>
      </c>
      <c r="C28" s="129">
        <v>15</v>
      </c>
      <c r="D28" s="128">
        <v>91</v>
      </c>
      <c r="E28" s="126" t="s">
        <v>247</v>
      </c>
      <c r="F28" s="127" t="s">
        <v>250</v>
      </c>
    </row>
    <row r="29" spans="1:6" ht="26.25" x14ac:dyDescent="0.65">
      <c r="A29" s="128">
        <v>25</v>
      </c>
      <c r="B29" s="126" t="s">
        <v>252</v>
      </c>
      <c r="C29" s="129">
        <v>15</v>
      </c>
      <c r="D29" s="128">
        <v>92</v>
      </c>
      <c r="E29" s="126" t="s">
        <v>219</v>
      </c>
      <c r="F29" s="127" t="s">
        <v>250</v>
      </c>
    </row>
    <row r="30" spans="1:6" ht="26.25" x14ac:dyDescent="0.65">
      <c r="A30" s="128">
        <v>26</v>
      </c>
      <c r="B30" s="126" t="s">
        <v>235</v>
      </c>
      <c r="C30" s="129">
        <v>15</v>
      </c>
      <c r="D30" s="128">
        <v>93</v>
      </c>
      <c r="E30" s="126" t="s">
        <v>219</v>
      </c>
      <c r="F30" s="127" t="s">
        <v>250</v>
      </c>
    </row>
    <row r="31" spans="1:6" ht="26.25" x14ac:dyDescent="0.65">
      <c r="A31" s="128">
        <v>27</v>
      </c>
      <c r="B31" s="126" t="s">
        <v>253</v>
      </c>
      <c r="C31" s="129">
        <v>15</v>
      </c>
      <c r="D31" s="128"/>
      <c r="E31" s="126"/>
      <c r="F31" s="127"/>
    </row>
    <row r="34" spans="1:6" ht="28.5" thickBot="1" x14ac:dyDescent="0.6">
      <c r="A34" s="282" t="s">
        <v>209</v>
      </c>
      <c r="B34" s="282"/>
      <c r="C34" s="282"/>
      <c r="D34" s="282"/>
      <c r="E34" s="282"/>
      <c r="F34" s="282"/>
    </row>
    <row r="35" spans="1:6" x14ac:dyDescent="0.55000000000000004">
      <c r="A35" s="276" t="s">
        <v>195</v>
      </c>
      <c r="B35" s="277"/>
      <c r="C35" s="277"/>
      <c r="D35" s="277"/>
      <c r="E35" s="277"/>
      <c r="F35" s="278"/>
    </row>
    <row r="36" spans="1:6" x14ac:dyDescent="0.55000000000000004">
      <c r="A36" s="315"/>
      <c r="B36" s="310"/>
      <c r="C36" s="310"/>
      <c r="D36" s="310"/>
      <c r="E36" s="310"/>
      <c r="F36" s="316"/>
    </row>
    <row r="37" spans="1:6" ht="28.5" x14ac:dyDescent="0.55000000000000004">
      <c r="A37" s="312" t="s">
        <v>435</v>
      </c>
      <c r="B37" s="313"/>
      <c r="C37" s="313"/>
      <c r="D37" s="313"/>
      <c r="E37" s="313"/>
      <c r="F37" s="314"/>
    </row>
    <row r="38" spans="1:6" ht="52.5" x14ac:dyDescent="0.55000000000000004">
      <c r="A38" s="123" t="s">
        <v>212</v>
      </c>
      <c r="B38" s="124" t="s">
        <v>197</v>
      </c>
      <c r="C38" s="123" t="s">
        <v>213</v>
      </c>
      <c r="D38" s="124" t="s">
        <v>212</v>
      </c>
      <c r="E38" s="123" t="s">
        <v>197</v>
      </c>
      <c r="F38" s="124" t="s">
        <v>213</v>
      </c>
    </row>
    <row r="39" spans="1:6" ht="26.25" x14ac:dyDescent="0.55000000000000004">
      <c r="A39" s="132">
        <v>1</v>
      </c>
      <c r="B39" s="132" t="s">
        <v>254</v>
      </c>
      <c r="C39" s="133">
        <v>15</v>
      </c>
      <c r="D39" s="132">
        <v>20</v>
      </c>
      <c r="E39" s="132" t="s">
        <v>255</v>
      </c>
      <c r="F39" s="133">
        <v>15</v>
      </c>
    </row>
    <row r="40" spans="1:6" ht="26.25" x14ac:dyDescent="0.55000000000000004">
      <c r="A40" s="132">
        <v>2</v>
      </c>
      <c r="B40" s="132" t="s">
        <v>256</v>
      </c>
      <c r="C40" s="133">
        <v>15</v>
      </c>
      <c r="D40" s="132">
        <v>21</v>
      </c>
      <c r="E40" s="132" t="s">
        <v>257</v>
      </c>
      <c r="F40" s="133">
        <v>15</v>
      </c>
    </row>
    <row r="41" spans="1:6" ht="26.25" x14ac:dyDescent="0.55000000000000004">
      <c r="A41" s="132">
        <v>3</v>
      </c>
      <c r="B41" s="132" t="s">
        <v>258</v>
      </c>
      <c r="C41" s="133">
        <v>15</v>
      </c>
      <c r="D41" s="132">
        <v>22</v>
      </c>
      <c r="E41" s="132" t="s">
        <v>259</v>
      </c>
      <c r="F41" s="133">
        <v>15</v>
      </c>
    </row>
    <row r="42" spans="1:6" ht="26.25" x14ac:dyDescent="0.55000000000000004">
      <c r="A42" s="132">
        <v>4</v>
      </c>
      <c r="B42" s="132" t="s">
        <v>260</v>
      </c>
      <c r="C42" s="133">
        <v>15</v>
      </c>
      <c r="D42" s="132">
        <v>23</v>
      </c>
      <c r="E42" s="132" t="s">
        <v>261</v>
      </c>
      <c r="F42" s="133">
        <v>15</v>
      </c>
    </row>
    <row r="43" spans="1:6" ht="26.25" x14ac:dyDescent="0.55000000000000004">
      <c r="A43" s="132">
        <v>5</v>
      </c>
      <c r="B43" s="132" t="s">
        <v>262</v>
      </c>
      <c r="C43" s="133">
        <v>15</v>
      </c>
      <c r="D43" s="132">
        <v>24</v>
      </c>
      <c r="E43" s="132" t="s">
        <v>263</v>
      </c>
      <c r="F43" s="133">
        <v>15</v>
      </c>
    </row>
    <row r="44" spans="1:6" ht="26.25" x14ac:dyDescent="0.55000000000000004">
      <c r="A44" s="132">
        <v>6</v>
      </c>
      <c r="B44" s="132" t="s">
        <v>264</v>
      </c>
      <c r="C44" s="133">
        <v>15</v>
      </c>
      <c r="D44" s="132">
        <v>25</v>
      </c>
      <c r="E44" s="132" t="s">
        <v>265</v>
      </c>
      <c r="F44" s="133">
        <v>15</v>
      </c>
    </row>
    <row r="45" spans="1:6" ht="26.25" x14ac:dyDescent="0.55000000000000004">
      <c r="A45" s="132">
        <v>7</v>
      </c>
      <c r="B45" s="132" t="s">
        <v>266</v>
      </c>
      <c r="C45" s="133">
        <v>15</v>
      </c>
      <c r="D45" s="132">
        <v>26</v>
      </c>
      <c r="E45" s="132" t="s">
        <v>267</v>
      </c>
      <c r="F45" s="133">
        <v>15</v>
      </c>
    </row>
    <row r="46" spans="1:6" ht="26.25" x14ac:dyDescent="0.55000000000000004">
      <c r="A46" s="132">
        <v>8</v>
      </c>
      <c r="B46" s="132" t="s">
        <v>268</v>
      </c>
      <c r="C46" s="133">
        <v>15</v>
      </c>
      <c r="D46" s="132">
        <v>27</v>
      </c>
      <c r="E46" s="132" t="s">
        <v>269</v>
      </c>
      <c r="F46" s="133">
        <v>15</v>
      </c>
    </row>
    <row r="47" spans="1:6" ht="26.25" x14ac:dyDescent="0.55000000000000004">
      <c r="A47" s="132">
        <v>9</v>
      </c>
      <c r="B47" s="132" t="s">
        <v>270</v>
      </c>
      <c r="C47" s="133">
        <v>15</v>
      </c>
      <c r="D47" s="132">
        <v>28</v>
      </c>
      <c r="E47" s="132" t="s">
        <v>271</v>
      </c>
      <c r="F47" s="133">
        <v>15</v>
      </c>
    </row>
    <row r="48" spans="1:6" ht="26.25" x14ac:dyDescent="0.55000000000000004">
      <c r="A48" s="132">
        <v>10</v>
      </c>
      <c r="B48" s="132" t="s">
        <v>272</v>
      </c>
      <c r="C48" s="133">
        <v>15</v>
      </c>
      <c r="D48" s="132">
        <v>29</v>
      </c>
      <c r="E48" s="132" t="s">
        <v>273</v>
      </c>
      <c r="F48" s="133">
        <v>15</v>
      </c>
    </row>
    <row r="49" spans="1:6" ht="26.25" x14ac:dyDescent="0.55000000000000004">
      <c r="A49" s="132">
        <v>11</v>
      </c>
      <c r="B49" s="132" t="s">
        <v>274</v>
      </c>
      <c r="C49" s="133">
        <v>15</v>
      </c>
      <c r="D49" s="132">
        <v>30</v>
      </c>
      <c r="E49" s="132" t="s">
        <v>275</v>
      </c>
      <c r="F49" s="133">
        <v>15</v>
      </c>
    </row>
    <row r="50" spans="1:6" ht="26.25" x14ac:dyDescent="0.55000000000000004">
      <c r="A50" s="132">
        <v>12</v>
      </c>
      <c r="B50" s="132" t="s">
        <v>276</v>
      </c>
      <c r="C50" s="133">
        <v>15</v>
      </c>
      <c r="D50" s="132">
        <v>31</v>
      </c>
      <c r="E50" s="132" t="s">
        <v>277</v>
      </c>
      <c r="F50" s="127">
        <v>15</v>
      </c>
    </row>
    <row r="51" spans="1:6" ht="26.25" x14ac:dyDescent="0.55000000000000004">
      <c r="A51" s="132">
        <v>13</v>
      </c>
      <c r="B51" s="132" t="s">
        <v>241</v>
      </c>
      <c r="C51" s="133">
        <v>15</v>
      </c>
      <c r="D51" s="132">
        <v>32</v>
      </c>
      <c r="E51" s="132" t="s">
        <v>278</v>
      </c>
      <c r="F51" s="133">
        <v>15</v>
      </c>
    </row>
    <row r="52" spans="1:6" ht="26.25" x14ac:dyDescent="0.55000000000000004">
      <c r="A52" s="132">
        <v>14</v>
      </c>
      <c r="B52" s="132" t="s">
        <v>279</v>
      </c>
      <c r="C52" s="133">
        <v>15</v>
      </c>
      <c r="D52" s="132">
        <v>33</v>
      </c>
      <c r="E52" s="132" t="s">
        <v>219</v>
      </c>
      <c r="F52" s="133">
        <v>15</v>
      </c>
    </row>
    <row r="53" spans="1:6" ht="26.25" x14ac:dyDescent="0.55000000000000004">
      <c r="A53" s="132">
        <v>15</v>
      </c>
      <c r="B53" s="132" t="s">
        <v>280</v>
      </c>
      <c r="C53" s="133">
        <v>15</v>
      </c>
      <c r="D53" s="132">
        <v>34</v>
      </c>
      <c r="E53" s="132" t="s">
        <v>281</v>
      </c>
      <c r="F53" s="127">
        <v>15</v>
      </c>
    </row>
    <row r="54" spans="1:6" ht="26.25" x14ac:dyDescent="0.55000000000000004">
      <c r="A54" s="132">
        <v>16</v>
      </c>
      <c r="B54" s="132" t="s">
        <v>282</v>
      </c>
      <c r="C54" s="133">
        <v>15</v>
      </c>
      <c r="D54" s="132">
        <v>35</v>
      </c>
      <c r="E54" s="132" t="s">
        <v>283</v>
      </c>
      <c r="F54" s="133">
        <v>15</v>
      </c>
    </row>
    <row r="55" spans="1:6" ht="26.25" x14ac:dyDescent="0.55000000000000004">
      <c r="A55" s="132">
        <v>17</v>
      </c>
      <c r="B55" s="132" t="s">
        <v>284</v>
      </c>
      <c r="C55" s="133">
        <v>15</v>
      </c>
      <c r="D55" s="132">
        <v>36</v>
      </c>
      <c r="E55" s="132" t="s">
        <v>285</v>
      </c>
      <c r="F55" s="133">
        <v>15</v>
      </c>
    </row>
    <row r="56" spans="1:6" ht="26.25" x14ac:dyDescent="0.55000000000000004">
      <c r="A56" s="132">
        <v>18</v>
      </c>
      <c r="B56" s="132" t="s">
        <v>286</v>
      </c>
      <c r="C56" s="133">
        <v>15</v>
      </c>
      <c r="D56" s="132">
        <v>37</v>
      </c>
      <c r="E56" s="132" t="s">
        <v>287</v>
      </c>
      <c r="F56" s="133">
        <v>15</v>
      </c>
    </row>
    <row r="57" spans="1:6" ht="26.25" x14ac:dyDescent="0.55000000000000004">
      <c r="A57" s="132">
        <v>19</v>
      </c>
      <c r="B57" s="132" t="s">
        <v>288</v>
      </c>
      <c r="C57" s="133">
        <v>15</v>
      </c>
      <c r="D57" s="132">
        <v>38</v>
      </c>
      <c r="E57" s="132" t="s">
        <v>289</v>
      </c>
      <c r="F57" s="133">
        <v>15</v>
      </c>
    </row>
  </sheetData>
  <mergeCells count="5">
    <mergeCell ref="A1:F2"/>
    <mergeCell ref="A3:F3"/>
    <mergeCell ref="A34:F34"/>
    <mergeCell ref="A35:F36"/>
    <mergeCell ref="A37:F37"/>
  </mergeCells>
  <pageMargins left="0" right="0" top="0" bottom="0" header="0.78740157480314965" footer="0.39370078740157483"/>
  <pageSetup paperSize="9" scale="9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zoomScale="30" zoomScaleNormal="30" workbookViewId="0">
      <selection activeCell="D17" sqref="D17"/>
    </sheetView>
  </sheetViews>
  <sheetFormatPr defaultRowHeight="21" x14ac:dyDescent="0.55000000000000004"/>
  <cols>
    <col min="1" max="1" width="16.44140625" bestFit="1" customWidth="1"/>
    <col min="2" max="2" width="27.109375" bestFit="1" customWidth="1"/>
    <col min="3" max="3" width="31.33203125" bestFit="1" customWidth="1"/>
    <col min="4" max="4" width="47.5546875" bestFit="1" customWidth="1"/>
    <col min="5" max="5" width="18.6640625" bestFit="1" customWidth="1"/>
    <col min="6" max="6" width="17.88671875" bestFit="1" customWidth="1"/>
    <col min="7" max="7" width="66" bestFit="1" customWidth="1"/>
    <col min="8" max="8" width="41.33203125" bestFit="1" customWidth="1"/>
    <col min="9" max="9" width="37.88671875" bestFit="1" customWidth="1"/>
    <col min="10" max="10" width="40.44140625" bestFit="1" customWidth="1"/>
    <col min="11" max="11" width="26" bestFit="1" customWidth="1"/>
    <col min="12" max="12" width="26.44140625" bestFit="1" customWidth="1"/>
    <col min="13" max="13" width="126.6640625" bestFit="1" customWidth="1"/>
  </cols>
  <sheetData>
    <row r="1" spans="1:13" ht="102.75" thickBot="1" x14ac:dyDescent="0.6">
      <c r="A1" s="317" t="s">
        <v>60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9"/>
    </row>
    <row r="2" spans="1:13" ht="102.75" thickBot="1" x14ac:dyDescent="1.6">
      <c r="A2" s="320" t="s">
        <v>296</v>
      </c>
      <c r="B2" s="321"/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2"/>
    </row>
    <row r="3" spans="1:13" ht="46.5" x14ac:dyDescent="0.55000000000000004">
      <c r="A3" s="135" t="s">
        <v>297</v>
      </c>
      <c r="B3" s="135" t="s">
        <v>146</v>
      </c>
      <c r="C3" s="135" t="s">
        <v>298</v>
      </c>
      <c r="D3" s="135" t="s">
        <v>299</v>
      </c>
      <c r="E3" s="135" t="s">
        <v>300</v>
      </c>
      <c r="F3" s="135" t="s">
        <v>301</v>
      </c>
      <c r="G3" s="135" t="s">
        <v>302</v>
      </c>
      <c r="H3" s="136" t="s">
        <v>303</v>
      </c>
      <c r="I3" s="136" t="s">
        <v>304</v>
      </c>
      <c r="J3" s="136" t="s">
        <v>305</v>
      </c>
      <c r="K3" s="136" t="s">
        <v>306</v>
      </c>
      <c r="L3" s="137" t="s">
        <v>307</v>
      </c>
      <c r="M3" s="137" t="s">
        <v>308</v>
      </c>
    </row>
    <row r="4" spans="1:13" ht="46.5" x14ac:dyDescent="0.55000000000000004">
      <c r="A4" s="138">
        <v>1</v>
      </c>
      <c r="B4" s="139">
        <v>45628</v>
      </c>
      <c r="C4" s="138">
        <v>8107</v>
      </c>
      <c r="D4" s="138" t="s">
        <v>309</v>
      </c>
      <c r="E4" s="138"/>
      <c r="F4" s="138">
        <v>12</v>
      </c>
      <c r="G4" s="138" t="s">
        <v>310</v>
      </c>
      <c r="H4" s="138"/>
      <c r="I4" s="138"/>
      <c r="J4" s="138"/>
      <c r="K4" s="138"/>
      <c r="L4" s="138"/>
      <c r="M4" s="138"/>
    </row>
    <row r="5" spans="1:13" ht="46.5" x14ac:dyDescent="0.55000000000000004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</row>
    <row r="6" spans="1:13" ht="46.5" x14ac:dyDescent="0.55000000000000004">
      <c r="A6" s="140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</row>
    <row r="7" spans="1:13" ht="46.5" x14ac:dyDescent="0.55000000000000004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</row>
    <row r="8" spans="1:13" ht="46.5" x14ac:dyDescent="0.55000000000000004">
      <c r="A8" s="140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</row>
    <row r="9" spans="1:13" ht="46.5" x14ac:dyDescent="0.55000000000000004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</row>
    <row r="10" spans="1:13" ht="46.5" x14ac:dyDescent="0.55000000000000004">
      <c r="A10" s="140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</row>
    <row r="11" spans="1:13" ht="46.5" x14ac:dyDescent="0.55000000000000004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</row>
    <row r="12" spans="1:13" ht="46.5" x14ac:dyDescent="0.55000000000000004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</row>
    <row r="13" spans="1:13" ht="46.5" x14ac:dyDescent="0.55000000000000004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</row>
    <row r="14" spans="1:13" ht="46.5" x14ac:dyDescent="0.55000000000000004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</row>
    <row r="15" spans="1:13" ht="46.5" x14ac:dyDescent="0.55000000000000004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</row>
    <row r="16" spans="1:13" ht="46.5" x14ac:dyDescent="0.55000000000000004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</row>
    <row r="17" spans="1:13" ht="46.5" x14ac:dyDescent="0.55000000000000004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</row>
    <row r="18" spans="1:13" ht="46.5" x14ac:dyDescent="0.55000000000000004">
      <c r="A18" s="140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</row>
    <row r="19" spans="1:13" ht="46.5" x14ac:dyDescent="0.55000000000000004">
      <c r="A19" s="14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</row>
    <row r="20" spans="1:13" ht="46.5" x14ac:dyDescent="0.55000000000000004">
      <c r="A20" s="14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</row>
    <row r="21" spans="1:13" ht="46.5" x14ac:dyDescent="0.55000000000000004">
      <c r="A21" s="140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</row>
    <row r="22" spans="1:13" ht="46.5" x14ac:dyDescent="0.55000000000000004">
      <c r="A22" s="140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</row>
    <row r="23" spans="1:13" ht="46.5" x14ac:dyDescent="0.55000000000000004">
      <c r="A23" s="140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</row>
    <row r="24" spans="1:13" ht="46.5" x14ac:dyDescent="0.55000000000000004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</row>
    <row r="25" spans="1:13" ht="46.5" x14ac:dyDescent="0.55000000000000004">
      <c r="A25" s="140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</row>
    <row r="26" spans="1:13" ht="46.5" x14ac:dyDescent="0.55000000000000004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</row>
    <row r="27" spans="1:13" ht="46.5" x14ac:dyDescent="0.55000000000000004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</row>
    <row r="28" spans="1:13" ht="46.5" x14ac:dyDescent="0.55000000000000004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</row>
    <row r="29" spans="1:13" ht="46.5" x14ac:dyDescent="0.55000000000000004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</row>
    <row r="30" spans="1:13" ht="46.5" x14ac:dyDescent="0.55000000000000004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</row>
    <row r="31" spans="1:13" ht="46.5" x14ac:dyDescent="0.55000000000000004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</row>
    <row r="32" spans="1:13" ht="46.5" x14ac:dyDescent="0.55000000000000004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</row>
    <row r="33" spans="1:13" ht="46.5" x14ac:dyDescent="0.55000000000000004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3" ht="46.5" x14ac:dyDescent="0.55000000000000004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3" ht="46.5" x14ac:dyDescent="0.55000000000000004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</row>
    <row r="36" spans="1:13" ht="46.5" x14ac:dyDescent="0.55000000000000004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</row>
    <row r="37" spans="1:13" ht="46.5" x14ac:dyDescent="0.55000000000000004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</row>
    <row r="38" spans="1:13" ht="46.5" x14ac:dyDescent="0.55000000000000004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</row>
    <row r="39" spans="1:13" ht="46.5" x14ac:dyDescent="0.55000000000000004">
      <c r="A39" s="140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</row>
    <row r="40" spans="1:13" ht="46.5" x14ac:dyDescent="0.55000000000000004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</row>
    <row r="41" spans="1:13" ht="46.5" x14ac:dyDescent="0.55000000000000004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</row>
    <row r="42" spans="1:13" ht="46.5" x14ac:dyDescent="0.55000000000000004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</row>
    <row r="43" spans="1:13" ht="46.5" x14ac:dyDescent="0.55000000000000004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</row>
    <row r="44" spans="1:13" ht="46.5" x14ac:dyDescent="0.55000000000000004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</row>
    <row r="45" spans="1:13" ht="46.5" x14ac:dyDescent="0.55000000000000004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</row>
    <row r="46" spans="1:13" ht="46.5" x14ac:dyDescent="0.7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</row>
    <row r="47" spans="1:13" ht="46.5" x14ac:dyDescent="0.7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</row>
    <row r="48" spans="1:13" ht="46.5" x14ac:dyDescent="0.7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</row>
    <row r="49" spans="1:13" ht="46.5" x14ac:dyDescent="0.7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</row>
    <row r="50" spans="1:13" ht="46.5" x14ac:dyDescent="0.7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</row>
    <row r="51" spans="1:13" ht="46.5" x14ac:dyDescent="0.7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</row>
    <row r="52" spans="1:13" ht="46.5" x14ac:dyDescent="0.7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</row>
    <row r="53" spans="1:13" ht="46.5" x14ac:dyDescent="0.7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</row>
    <row r="54" spans="1:13" ht="46.5" x14ac:dyDescent="0.7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</row>
    <row r="55" spans="1:13" ht="46.5" x14ac:dyDescent="0.7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</row>
    <row r="56" spans="1:13" ht="46.5" x14ac:dyDescent="0.7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</row>
    <row r="57" spans="1:13" ht="46.5" x14ac:dyDescent="0.7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</row>
    <row r="58" spans="1:13" ht="46.5" x14ac:dyDescent="0.7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</row>
    <row r="59" spans="1:13" ht="46.5" x14ac:dyDescent="0.7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</row>
    <row r="60" spans="1:13" ht="46.5" x14ac:dyDescent="0.7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</row>
    <row r="61" spans="1:13" x14ac:dyDescent="0.55000000000000004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</row>
    <row r="62" spans="1:13" x14ac:dyDescent="0.55000000000000004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</row>
    <row r="63" spans="1:13" x14ac:dyDescent="0.55000000000000004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</row>
    <row r="64" spans="1:13" x14ac:dyDescent="0.55000000000000004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</row>
    <row r="65" spans="1:13" x14ac:dyDescent="0.55000000000000004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</row>
    <row r="66" spans="1:13" x14ac:dyDescent="0.55000000000000004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</row>
    <row r="67" spans="1:13" x14ac:dyDescent="0.55000000000000004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</row>
    <row r="68" spans="1:13" x14ac:dyDescent="0.55000000000000004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</row>
    <row r="69" spans="1:13" x14ac:dyDescent="0.55000000000000004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</row>
    <row r="70" spans="1:13" x14ac:dyDescent="0.55000000000000004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</row>
    <row r="71" spans="1:13" x14ac:dyDescent="0.55000000000000004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</row>
    <row r="72" spans="1:13" x14ac:dyDescent="0.55000000000000004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</row>
    <row r="73" spans="1:13" x14ac:dyDescent="0.55000000000000004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</row>
    <row r="74" spans="1:13" x14ac:dyDescent="0.55000000000000004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</row>
    <row r="75" spans="1:13" x14ac:dyDescent="0.55000000000000004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</row>
    <row r="76" spans="1:13" x14ac:dyDescent="0.55000000000000004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</row>
    <row r="77" spans="1:13" x14ac:dyDescent="0.55000000000000004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</row>
    <row r="78" spans="1:13" x14ac:dyDescent="0.55000000000000004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</row>
    <row r="79" spans="1:13" x14ac:dyDescent="0.55000000000000004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</row>
    <row r="80" spans="1:13" x14ac:dyDescent="0.55000000000000004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</row>
    <row r="81" spans="1:13" x14ac:dyDescent="0.55000000000000004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</row>
  </sheetData>
  <mergeCells count="2">
    <mergeCell ref="A1:M1"/>
    <mergeCell ref="A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GREY STOCK</vt:lpstr>
      <vt:lpstr>SHIFT</vt:lpstr>
      <vt:lpstr>ORDER DETAILS</vt:lpstr>
      <vt:lpstr>BEAM STOCK</vt:lpstr>
      <vt:lpstr>YARN STOCK</vt:lpstr>
      <vt:lpstr>FIRE BOTTEL REPORT</vt:lpstr>
      <vt:lpstr>SAMPLE SYSTEM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2025-11-30T05:34:28Z</dcterms:modified>
</cp:coreProperties>
</file>