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TEXTRADE\DOCUMENTATION\AVIS\"/>
    </mc:Choice>
  </mc:AlternateContent>
  <xr:revisionPtr revIDLastSave="0" documentId="13_ncr:1_{ADE48CA7-6DBE-4215-B63F-1A9BCAB39942}" xr6:coauthVersionLast="47" xr6:coauthVersionMax="47" xr10:uidLastSave="{00000000-0000-0000-0000-000000000000}"/>
  <bookViews>
    <workbookView xWindow="-120" yWindow="-120" windowWidth="21840" windowHeight="13020" firstSheet="2" activeTab="4" xr2:uid="{69B325C2-FF04-47AB-BDA7-12654685DE57}"/>
  </bookViews>
  <sheets>
    <sheet name="Sale(Dispatch)" sheetId="1" r:id="rId1"/>
    <sheet name="Sale Buyerwise" sheetId="6" r:id="rId2"/>
    <sheet name="Packed Goods list " sheetId="2" r:id="rId3"/>
    <sheet name="Order  details " sheetId="3" r:id="rId4"/>
    <sheet name="Order details_Buyerwise" sheetId="4" r:id="rId5"/>
    <sheet name="Lot Status " sheetId="5" r:id="rId6"/>
    <sheet name="Material Inward 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E2" i="5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<sst xmlns="http://schemas.openxmlformats.org/spreadsheetml/2006/main" count="63" uniqueCount="55">
  <si>
    <t xml:space="preserve">Rotary </t>
  </si>
  <si>
    <t xml:space="preserve">Digital </t>
  </si>
  <si>
    <t xml:space="preserve">Pieces </t>
  </si>
  <si>
    <t xml:space="preserve">Grey </t>
  </si>
  <si>
    <t xml:space="preserve">Job </t>
  </si>
  <si>
    <t xml:space="preserve">Total </t>
  </si>
  <si>
    <t xml:space="preserve">Meters </t>
  </si>
  <si>
    <t xml:space="preserve">Amount </t>
  </si>
  <si>
    <t xml:space="preserve">Buyer Name </t>
  </si>
  <si>
    <t xml:space="preserve">Dispatch to </t>
  </si>
  <si>
    <t xml:space="preserve">Process House </t>
  </si>
  <si>
    <t xml:space="preserve">WIP Stock </t>
  </si>
  <si>
    <t xml:space="preserve">Grey Stage </t>
  </si>
  <si>
    <t xml:space="preserve">Prorgam Meters </t>
  </si>
  <si>
    <t xml:space="preserve">Vimalscope </t>
  </si>
  <si>
    <t xml:space="preserve">Difference </t>
  </si>
  <si>
    <t>Date</t>
  </si>
  <si>
    <t>Name</t>
  </si>
  <si>
    <t>Mtrs</t>
  </si>
  <si>
    <t>Return Mtrs</t>
  </si>
  <si>
    <t>DHARAMVIR EXPORTS</t>
  </si>
  <si>
    <t>PAWAN KUMAR RATHI</t>
  </si>
  <si>
    <t>PREMIER FASHION INTERNATIONAL PVT LTD</t>
  </si>
  <si>
    <t>SHRIMAN FABRICS</t>
  </si>
  <si>
    <t>SIYARAM SILK MILLS LIMITED (DAMAN)</t>
  </si>
  <si>
    <t>SIYARAM SILK MILLS LIMITED (MAH)</t>
  </si>
  <si>
    <t>VAMA FABRICS LIMITED</t>
  </si>
  <si>
    <t>GRAND TOTAL:</t>
  </si>
  <si>
    <t>Process</t>
  </si>
  <si>
    <t xml:space="preserve">Date </t>
  </si>
  <si>
    <t>taxable amt</t>
  </si>
  <si>
    <t>dispatch</t>
  </si>
  <si>
    <t>sales</t>
  </si>
  <si>
    <t>sales total</t>
  </si>
  <si>
    <t>dispatch total</t>
  </si>
  <si>
    <t>gr</t>
  </si>
  <si>
    <t>gr total</t>
  </si>
  <si>
    <t>Total</t>
  </si>
  <si>
    <t>GR</t>
  </si>
  <si>
    <t>GR Total</t>
  </si>
  <si>
    <t>daily dispatch details reprot</t>
  </si>
  <si>
    <t>pending for invoice</t>
  </si>
  <si>
    <t>summary</t>
  </si>
  <si>
    <t>Bill To</t>
  </si>
  <si>
    <t>Ship To</t>
  </si>
  <si>
    <t>Total Mtrs</t>
  </si>
  <si>
    <t>Details</t>
  </si>
  <si>
    <t>challan no</t>
  </si>
  <si>
    <t>date</t>
  </si>
  <si>
    <t>bill to</t>
  </si>
  <si>
    <t xml:space="preserve">ship to </t>
  </si>
  <si>
    <t>itemname</t>
  </si>
  <si>
    <t>design no</t>
  </si>
  <si>
    <t xml:space="preserve">shade </t>
  </si>
  <si>
    <t>total mtrs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</si>
</sst>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.5"/>
      <color theme="1"/>
      <name val="Tahoma"/>
      <family val="2"/>
    </font>
    <font>
      <sz val="8.5"/>
      <color theme="1"/>
      <name val="Tahoma"/>
      <family val="2"/>
    </font>
    <font>
      <b/>
      <sz val="8.5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F254-1208-4754-9F6A-548EBC0E3E3C}">
  <dimension ref="A1:R16"/>
  <sheetViews>
    <sheetView workbookViewId="0">
      <selection activeCell="Q2" sqref="Q2"/>
    </sheetView>
  </sheetViews>
  <sheetFormatPr defaultRowHeight="15" x14ac:dyDescent="0.25"/>
  <cols>
    <col min="1" max="1" width="10.7109375" bestFit="1" customWidth="1"/>
    <col min="2" max="2" width="5.42578125" bestFit="1" customWidth="1"/>
    <col min="3" max="3" width="10" bestFit="1" customWidth="1"/>
    <col min="4" max="4" width="8.42578125" bestFit="1" customWidth="1"/>
    <col min="5" max="5" width="13.140625" bestFit="1" customWidth="1"/>
    <col min="6" max="6" width="2.7109375" bestFit="1" customWidth="1"/>
    <col min="7" max="7" width="7.28515625" bestFit="1" customWidth="1"/>
    <col min="8" max="8" width="5.42578125" bestFit="1" customWidth="1"/>
    <col min="10" max="10" width="10.7109375" bestFit="1" customWidth="1"/>
    <col min="11" max="11" width="5.42578125" bestFit="1" customWidth="1"/>
    <col min="12" max="12" width="10" bestFit="1" customWidth="1"/>
    <col min="13" max="13" width="8.42578125" bestFit="1" customWidth="1"/>
    <col min="14" max="14" width="13.140625" bestFit="1" customWidth="1"/>
    <col min="15" max="15" width="2.7109375" bestFit="1" customWidth="1"/>
    <col min="16" max="16" width="7.28515625" bestFit="1" customWidth="1"/>
    <col min="17" max="17" width="5.42578125" bestFit="1" customWidth="1"/>
    <col min="18" max="18" width="11.42578125" bestFit="1" customWidth="1"/>
  </cols>
  <sheetData>
    <row r="1" spans="1:18" x14ac:dyDescent="0.25">
      <c r="B1" s="9" t="s">
        <v>6</v>
      </c>
      <c r="C1" s="9"/>
      <c r="D1" s="9"/>
      <c r="E1" s="9"/>
      <c r="F1" s="9"/>
      <c r="G1" s="9"/>
      <c r="K1" s="9" t="s">
        <v>7</v>
      </c>
      <c r="L1" s="9"/>
      <c r="M1" s="9"/>
      <c r="N1" s="9"/>
      <c r="O1" s="9"/>
      <c r="P1" s="9"/>
    </row>
    <row r="2" spans="1:18" x14ac:dyDescent="0.25">
      <c r="B2" t="s">
        <v>32</v>
      </c>
      <c r="C2" t="s">
        <v>33</v>
      </c>
      <c r="D2" t="s">
        <v>31</v>
      </c>
      <c r="E2" t="s">
        <v>34</v>
      </c>
      <c r="F2" t="s">
        <v>35</v>
      </c>
      <c r="G2" s="12" t="s">
        <v>36</v>
      </c>
      <c r="H2" s="12" t="s">
        <v>37</v>
      </c>
      <c r="I2" s="12"/>
      <c r="K2" t="s">
        <v>32</v>
      </c>
      <c r="L2" t="s">
        <v>33</v>
      </c>
      <c r="M2" t="s">
        <v>31</v>
      </c>
      <c r="N2" t="s">
        <v>34</v>
      </c>
      <c r="O2" t="s">
        <v>38</v>
      </c>
      <c r="P2" s="12" t="s">
        <v>39</v>
      </c>
      <c r="Q2" s="12" t="s">
        <v>37</v>
      </c>
    </row>
    <row r="3" spans="1:18" x14ac:dyDescent="0.25">
      <c r="A3" s="1">
        <v>45901</v>
      </c>
      <c r="J3" s="1">
        <v>45901</v>
      </c>
    </row>
    <row r="4" spans="1:18" x14ac:dyDescent="0.25">
      <c r="A4" s="1">
        <f>A3+1</f>
        <v>45902</v>
      </c>
      <c r="J4" s="1">
        <f>J3+1</f>
        <v>45902</v>
      </c>
    </row>
    <row r="5" spans="1:18" x14ac:dyDescent="0.25">
      <c r="A5" s="1">
        <f>A4+1</f>
        <v>45903</v>
      </c>
      <c r="J5" s="1">
        <f>J4+1</f>
        <v>45903</v>
      </c>
    </row>
    <row r="6" spans="1:18" x14ac:dyDescent="0.25">
      <c r="A6" s="1">
        <f t="shared" ref="A6:A16" si="0">A5+1</f>
        <v>45904</v>
      </c>
      <c r="J6" s="1">
        <f t="shared" ref="J6:J16" si="1">J5+1</f>
        <v>45904</v>
      </c>
    </row>
    <row r="7" spans="1:18" x14ac:dyDescent="0.25">
      <c r="A7" s="1">
        <f t="shared" si="0"/>
        <v>45905</v>
      </c>
      <c r="J7" s="1">
        <f t="shared" si="1"/>
        <v>45905</v>
      </c>
    </row>
    <row r="8" spans="1:18" x14ac:dyDescent="0.25">
      <c r="A8" s="1">
        <f t="shared" si="0"/>
        <v>45906</v>
      </c>
      <c r="J8" s="1">
        <f t="shared" si="1"/>
        <v>45906</v>
      </c>
    </row>
    <row r="9" spans="1:18" x14ac:dyDescent="0.25">
      <c r="A9" s="1">
        <f t="shared" si="0"/>
        <v>45907</v>
      </c>
      <c r="J9" s="1">
        <f t="shared" si="1"/>
        <v>45907</v>
      </c>
    </row>
    <row r="10" spans="1:18" x14ac:dyDescent="0.25">
      <c r="A10" s="1">
        <f t="shared" si="0"/>
        <v>45908</v>
      </c>
      <c r="J10" s="1">
        <f t="shared" si="1"/>
        <v>45908</v>
      </c>
    </row>
    <row r="11" spans="1:18" x14ac:dyDescent="0.25">
      <c r="A11" s="1">
        <f t="shared" si="0"/>
        <v>45909</v>
      </c>
      <c r="J11" s="1">
        <f t="shared" si="1"/>
        <v>45909</v>
      </c>
    </row>
    <row r="12" spans="1:18" x14ac:dyDescent="0.25">
      <c r="A12" s="1">
        <f t="shared" si="0"/>
        <v>45910</v>
      </c>
      <c r="J12" s="1">
        <f t="shared" si="1"/>
        <v>45910</v>
      </c>
    </row>
    <row r="13" spans="1:18" x14ac:dyDescent="0.25">
      <c r="A13" s="1">
        <f t="shared" si="0"/>
        <v>45911</v>
      </c>
      <c r="J13" s="1">
        <f t="shared" si="1"/>
        <v>45911</v>
      </c>
    </row>
    <row r="14" spans="1:18" x14ac:dyDescent="0.25">
      <c r="A14" s="1">
        <f t="shared" si="0"/>
        <v>45912</v>
      </c>
      <c r="J14" s="1">
        <f t="shared" si="1"/>
        <v>45912</v>
      </c>
      <c r="R14" t="s">
        <v>30</v>
      </c>
    </row>
    <row r="15" spans="1:18" x14ac:dyDescent="0.25">
      <c r="A15" s="1">
        <f t="shared" si="0"/>
        <v>45913</v>
      </c>
      <c r="J15" s="1">
        <f t="shared" si="1"/>
        <v>45913</v>
      </c>
    </row>
    <row r="16" spans="1:18" x14ac:dyDescent="0.25">
      <c r="A16" s="1">
        <f t="shared" si="0"/>
        <v>45914</v>
      </c>
      <c r="J16" s="1">
        <f t="shared" si="1"/>
        <v>45914</v>
      </c>
    </row>
  </sheetData>
  <mergeCells count="2">
    <mergeCell ref="B1:G1"/>
    <mergeCell ref="K1:P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4CD0-9EB1-47F8-9185-13CBF2B2914B}">
  <dimension ref="A1:D15"/>
  <sheetViews>
    <sheetView workbookViewId="0">
      <selection activeCell="D16" sqref="D16"/>
    </sheetView>
  </sheetViews>
  <sheetFormatPr defaultRowHeight="15" x14ac:dyDescent="0.25"/>
  <cols>
    <col min="2" max="2" width="27.42578125" customWidth="1"/>
  </cols>
  <sheetData>
    <row r="1" spans="1:4" ht="21" x14ac:dyDescent="0.25">
      <c r="A1" s="3" t="s">
        <v>16</v>
      </c>
      <c r="B1" s="3" t="s">
        <v>17</v>
      </c>
      <c r="C1" s="3" t="s">
        <v>18</v>
      </c>
      <c r="D1" s="3" t="s">
        <v>19</v>
      </c>
    </row>
    <row r="2" spans="1:4" x14ac:dyDescent="0.25">
      <c r="A2" s="4">
        <v>45853</v>
      </c>
      <c r="B2" s="5" t="s">
        <v>20</v>
      </c>
      <c r="C2" s="6">
        <v>1299.5</v>
      </c>
      <c r="D2" s="6">
        <v>638.5</v>
      </c>
    </row>
    <row r="3" spans="1:4" x14ac:dyDescent="0.25">
      <c r="A3" s="4">
        <v>45853</v>
      </c>
      <c r="B3" s="5" t="s">
        <v>21</v>
      </c>
      <c r="C3" s="6">
        <v>204.8</v>
      </c>
      <c r="D3" s="6">
        <v>0</v>
      </c>
    </row>
    <row r="4" spans="1:4" ht="21" x14ac:dyDescent="0.25">
      <c r="A4" s="4">
        <v>45853</v>
      </c>
      <c r="B4" s="5" t="s">
        <v>22</v>
      </c>
      <c r="C4" s="6">
        <v>366.5</v>
      </c>
      <c r="D4" s="6">
        <v>0</v>
      </c>
    </row>
    <row r="5" spans="1:4" x14ac:dyDescent="0.25">
      <c r="A5" s="4">
        <v>45853</v>
      </c>
      <c r="B5" s="5" t="s">
        <v>23</v>
      </c>
      <c r="C5" s="6">
        <v>1038.3</v>
      </c>
      <c r="D5" s="6">
        <v>0</v>
      </c>
    </row>
    <row r="6" spans="1:4" ht="21" x14ac:dyDescent="0.25">
      <c r="A6" s="4">
        <v>45853</v>
      </c>
      <c r="B6" s="5" t="s">
        <v>24</v>
      </c>
      <c r="C6" s="6">
        <v>1212.5</v>
      </c>
      <c r="D6" s="6">
        <v>0</v>
      </c>
    </row>
    <row r="7" spans="1:4" x14ac:dyDescent="0.25">
      <c r="A7" s="4">
        <v>45853</v>
      </c>
      <c r="B7" s="5" t="s">
        <v>25</v>
      </c>
      <c r="C7" s="6">
        <v>21421</v>
      </c>
      <c r="D7" s="6">
        <v>0</v>
      </c>
    </row>
    <row r="8" spans="1:4" x14ac:dyDescent="0.25">
      <c r="A8" s="4">
        <v>45853</v>
      </c>
      <c r="B8" s="5" t="s">
        <v>26</v>
      </c>
      <c r="C8" s="6">
        <v>1427.5</v>
      </c>
      <c r="D8" s="6">
        <v>0</v>
      </c>
    </row>
    <row r="9" spans="1:4" x14ac:dyDescent="0.25">
      <c r="A9" s="10" t="s">
        <v>27</v>
      </c>
      <c r="B9" s="11"/>
      <c r="C9" s="7">
        <v>26970.1</v>
      </c>
      <c r="D9" s="7">
        <v>3274.9</v>
      </c>
    </row>
    <row r="10" spans="1:4" x14ac:dyDescent="0.25">
      <c r="A10" s="8"/>
    </row>
    <row r="15" spans="1:4" x14ac:dyDescent="0.25">
      <c r="D15" t="s">
        <v>40</v>
      </c>
    </row>
  </sheetData>
  <mergeCells count="1">
    <mergeCell ref="A9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B670-229A-454F-92CE-FF234F1D33C6}">
  <dimension ref="A1:H9"/>
  <sheetViews>
    <sheetView workbookViewId="0">
      <selection activeCell="O10" sqref="O10"/>
    </sheetView>
  </sheetViews>
  <sheetFormatPr defaultRowHeight="15" x14ac:dyDescent="0.25"/>
  <cols>
    <col min="1" max="1" width="12.28515625" bestFit="1" customWidth="1"/>
    <col min="2" max="2" width="11.28515625" bestFit="1" customWidth="1"/>
    <col min="3" max="3" width="14.5703125" bestFit="1" customWidth="1"/>
    <col min="5" max="5" width="18.42578125" bestFit="1" customWidth="1"/>
  </cols>
  <sheetData>
    <row r="1" spans="1:8" x14ac:dyDescent="0.25">
      <c r="B1" t="s">
        <v>42</v>
      </c>
    </row>
    <row r="2" spans="1:8" x14ac:dyDescent="0.25">
      <c r="A2" t="s">
        <v>43</v>
      </c>
      <c r="B2" t="s">
        <v>44</v>
      </c>
      <c r="C2" t="s">
        <v>45</v>
      </c>
      <c r="E2" t="s">
        <v>41</v>
      </c>
    </row>
    <row r="8" spans="1:8" x14ac:dyDescent="0.25">
      <c r="B8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C96D-92D8-41D4-912F-599816201C86}">
  <dimension ref="A1:G16"/>
  <sheetViews>
    <sheetView workbookViewId="0">
      <selection activeCell="K15" sqref="K15:K16"/>
    </sheetView>
  </sheetViews>
  <sheetFormatPr defaultRowHeight="15" x14ac:dyDescent="0.25"/>
  <cols>
    <col min="1" max="1" width="10.7109375" bestFit="1" customWidth="1"/>
    <col min="2" max="4" width="7.140625" bestFit="1" customWidth="1"/>
    <col min="5" max="5" width="5.5703125" bestFit="1" customWidth="1"/>
    <col min="6" max="6" width="4.42578125" bestFit="1" customWidth="1"/>
    <col min="7" max="7" width="5.85546875" bestFit="1" customWidth="1"/>
  </cols>
  <sheetData>
    <row r="1" spans="1:7" x14ac:dyDescent="0.25">
      <c r="B1" s="9" t="s">
        <v>6</v>
      </c>
      <c r="C1" s="9"/>
      <c r="D1" s="9"/>
      <c r="E1" s="9"/>
      <c r="F1" s="9"/>
      <c r="G1" s="9"/>
    </row>
    <row r="2" spans="1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5</v>
      </c>
    </row>
    <row r="3" spans="1:7" x14ac:dyDescent="0.25">
      <c r="A3" s="1">
        <v>45901</v>
      </c>
    </row>
    <row r="4" spans="1:7" x14ac:dyDescent="0.25">
      <c r="A4" s="1">
        <f>A3+1</f>
        <v>45902</v>
      </c>
    </row>
    <row r="5" spans="1:7" x14ac:dyDescent="0.25">
      <c r="A5" s="1">
        <f>A4+1</f>
        <v>45903</v>
      </c>
    </row>
    <row r="6" spans="1:7" x14ac:dyDescent="0.25">
      <c r="A6" s="1">
        <f t="shared" ref="A6:A16" si="0">A5+1</f>
        <v>45904</v>
      </c>
    </row>
    <row r="7" spans="1:7" x14ac:dyDescent="0.25">
      <c r="A7" s="1">
        <f t="shared" si="0"/>
        <v>45905</v>
      </c>
    </row>
    <row r="8" spans="1:7" x14ac:dyDescent="0.25">
      <c r="A8" s="1">
        <f t="shared" si="0"/>
        <v>45906</v>
      </c>
    </row>
    <row r="9" spans="1:7" x14ac:dyDescent="0.25">
      <c r="A9" s="1">
        <f t="shared" si="0"/>
        <v>45907</v>
      </c>
    </row>
    <row r="10" spans="1:7" x14ac:dyDescent="0.25">
      <c r="A10" s="1">
        <f t="shared" si="0"/>
        <v>45908</v>
      </c>
    </row>
    <row r="11" spans="1:7" x14ac:dyDescent="0.25">
      <c r="A11" s="1">
        <f t="shared" si="0"/>
        <v>45909</v>
      </c>
    </row>
    <row r="12" spans="1:7" x14ac:dyDescent="0.25">
      <c r="A12" s="1">
        <f t="shared" si="0"/>
        <v>45910</v>
      </c>
    </row>
    <row r="13" spans="1:7" x14ac:dyDescent="0.25">
      <c r="A13" s="1">
        <f t="shared" si="0"/>
        <v>45911</v>
      </c>
    </row>
    <row r="14" spans="1:7" x14ac:dyDescent="0.25">
      <c r="A14" s="1">
        <f t="shared" si="0"/>
        <v>45912</v>
      </c>
    </row>
    <row r="15" spans="1:7" x14ac:dyDescent="0.25">
      <c r="A15" s="1">
        <f t="shared" si="0"/>
        <v>45913</v>
      </c>
    </row>
    <row r="16" spans="1:7" x14ac:dyDescent="0.25">
      <c r="A16" s="1">
        <f t="shared" si="0"/>
        <v>45914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2A94-A5C7-4E5C-9D59-0A4666274A9C}">
  <dimension ref="A1:C1"/>
  <sheetViews>
    <sheetView tabSelected="1" workbookViewId="0">
      <selection activeCell="G28" sqref="G28"/>
    </sheetView>
  </sheetViews>
  <sheetFormatPr defaultColWidth="10.7109375" defaultRowHeight="15" x14ac:dyDescent="0.25"/>
  <cols>
    <col min="1" max="1" width="12.28515625" bestFit="1" customWidth="1"/>
    <col min="2" max="2" width="11.28515625" bestFit="1" customWidth="1"/>
    <col min="3" max="3" width="7.7109375" bestFit="1" customWidth="1"/>
  </cols>
  <sheetData>
    <row r="1" spans="1:3" x14ac:dyDescent="0.25">
      <c r="A1" t="s">
        <v>8</v>
      </c>
      <c r="B1" t="s">
        <v>9</v>
      </c>
      <c r="C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F2DC-CB0A-480C-B9A6-68FB185CA5A9}">
  <dimension ref="A1:E2"/>
  <sheetViews>
    <sheetView workbookViewId="0">
      <selection activeCell="E2" sqref="E2"/>
    </sheetView>
  </sheetViews>
  <sheetFormatPr defaultRowHeight="15" x14ac:dyDescent="0.25"/>
  <cols>
    <col min="1" max="1" width="14.28515625" bestFit="1" customWidth="1"/>
    <col min="2" max="2" width="10.140625" bestFit="1" customWidth="1"/>
    <col min="3" max="3" width="10.85546875" bestFit="1" customWidth="1"/>
    <col min="4" max="4" width="15.7109375" bestFit="1" customWidth="1"/>
    <col min="5" max="5" width="10.85546875" bestFit="1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15</v>
      </c>
    </row>
    <row r="2" spans="1:5" x14ac:dyDescent="0.25">
      <c r="A2" t="s">
        <v>14</v>
      </c>
      <c r="B2">
        <v>113000</v>
      </c>
      <c r="C2">
        <v>23000</v>
      </c>
      <c r="D2">
        <v>120000</v>
      </c>
      <c r="E2">
        <f>B2+C2-D2</f>
        <v>16000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0B47-3ECB-4B82-955C-31B812EF5180}">
  <dimension ref="A1:C1"/>
  <sheetViews>
    <sheetView workbookViewId="0">
      <selection activeCell="F11" sqref="F11"/>
    </sheetView>
  </sheetViews>
  <sheetFormatPr defaultRowHeight="15" x14ac:dyDescent="0.25"/>
  <sheetData>
    <row r="1" spans="1:3" x14ac:dyDescent="0.25">
      <c r="A1" t="s">
        <v>29</v>
      </c>
      <c r="B1" t="s">
        <v>28</v>
      </c>
      <c r="C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Sale(Dispatch)</vt:lpstr>
      <vt:lpstr>Sale Buyerwise</vt:lpstr>
      <vt:lpstr>Packed Goods list </vt:lpstr>
      <vt:lpstr>Order  details </vt:lpstr>
      <vt:lpstr>Order details_Buyerwise</vt:lpstr>
      <vt:lpstr>Lot Status </vt:lpstr>
      <vt:lpstr>Material Inward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Mukim</dc:creator>
  <cp:lastModifiedBy>Gulkit Jain</cp:lastModifiedBy>
  <dcterms:created xsi:type="dcterms:W3CDTF">2025-09-04T12:38:57Z</dcterms:created>
  <dcterms:modified xsi:type="dcterms:W3CDTF">2025-09-15T09:05:56Z</dcterms:modified>
</cp:coreProperties>
</file>