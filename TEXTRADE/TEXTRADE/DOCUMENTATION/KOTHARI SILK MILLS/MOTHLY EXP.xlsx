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2" l="1"/>
  <c r="D31" i="2"/>
  <c r="D29" i="2"/>
  <c r="D20" i="2"/>
  <c r="D17" i="2"/>
  <c r="D13" i="2"/>
  <c r="D10" i="2"/>
  <c r="D2" i="2"/>
</calcChain>
</file>

<file path=xl/sharedStrings.xml><?xml version="1.0" encoding="utf-8"?>
<sst xmlns="http://schemas.openxmlformats.org/spreadsheetml/2006/main" count="37" uniqueCount="37">
  <si>
    <t>SALARY</t>
  </si>
  <si>
    <t>AIRTEL BILL (CREDIT CARD)</t>
  </si>
  <si>
    <t>INDIAN OIL (PETROL)</t>
  </si>
  <si>
    <t>HDFC CREDIT CARD</t>
  </si>
  <si>
    <t>BHIWANDI RENT</t>
  </si>
  <si>
    <t>SALSETTE RENT</t>
  </si>
  <si>
    <t>BHAVIKA</t>
  </si>
  <si>
    <t>ANKITA</t>
  </si>
  <si>
    <t>AMRATLAL KOTHARI</t>
  </si>
  <si>
    <t>VINIL</t>
  </si>
  <si>
    <t>ASHOK</t>
  </si>
  <si>
    <t>POONAM</t>
  </si>
  <si>
    <t>DETCO STOCK</t>
  </si>
  <si>
    <t>RISHABH STOCK</t>
  </si>
  <si>
    <t>MUKKADAM</t>
  </si>
  <si>
    <t>MEHTA SERVICES</t>
  </si>
  <si>
    <t>ELECTRICITY</t>
  </si>
  <si>
    <t>BEST</t>
  </si>
  <si>
    <t>TORENT</t>
  </si>
  <si>
    <t>CREDIT CARD</t>
  </si>
  <si>
    <t>RENT</t>
  </si>
  <si>
    <t>STAFF</t>
  </si>
  <si>
    <t>STOCK</t>
  </si>
  <si>
    <t>BANK</t>
  </si>
  <si>
    <t>INTEREST</t>
  </si>
  <si>
    <t>CURRENT</t>
  </si>
  <si>
    <t>OVERDRAFT</t>
  </si>
  <si>
    <t>ACCOUNTING</t>
  </si>
  <si>
    <t>DISPATCH</t>
  </si>
  <si>
    <t>MTRS</t>
  </si>
  <si>
    <t>RETURN GOODS</t>
  </si>
  <si>
    <t>OUTSTANDING</t>
  </si>
  <si>
    <t>RECEIVABLE</t>
  </si>
  <si>
    <t>PAYABLE</t>
  </si>
  <si>
    <t>CAR LOAN</t>
  </si>
  <si>
    <t>MOTOR CAR</t>
  </si>
  <si>
    <t>REPAIR &amp; MAINTENENACE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</si>
</sst>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left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17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sqref="A1:D1"/>
    </sheetView>
  </sheetViews>
  <sheetFormatPr defaultRowHeight="19.5" customHeight="1" x14ac:dyDescent="0.25"/>
  <cols>
    <col min="1" max="1" width="21.28515625" style="1" bestFit="1" customWidth="1"/>
    <col min="2" max="4" width="25.7109375" style="1" customWidth="1"/>
    <col min="5" max="16384" width="9.140625" style="1"/>
  </cols>
  <sheetData>
    <row r="1" spans="1:4" ht="19.5" customHeight="1" x14ac:dyDescent="0.25">
      <c r="A1" s="7">
        <v>45962</v>
      </c>
      <c r="B1" s="8"/>
      <c r="C1" s="8"/>
      <c r="D1" s="8"/>
    </row>
    <row r="2" spans="1:4" ht="19.5" customHeight="1" x14ac:dyDescent="0.25">
      <c r="A2" s="1" t="s">
        <v>0</v>
      </c>
      <c r="D2" s="2">
        <f>SUM(C3:C9)</f>
        <v>763566</v>
      </c>
    </row>
    <row r="3" spans="1:4" ht="19.5" customHeight="1" x14ac:dyDescent="0.25">
      <c r="B3" s="3" t="s">
        <v>21</v>
      </c>
      <c r="C3" s="3">
        <v>423566</v>
      </c>
    </row>
    <row r="4" spans="1:4" ht="19.5" customHeight="1" x14ac:dyDescent="0.25">
      <c r="B4" s="3" t="s">
        <v>6</v>
      </c>
      <c r="C4" s="3">
        <v>90000</v>
      </c>
    </row>
    <row r="5" spans="1:4" ht="19.5" customHeight="1" x14ac:dyDescent="0.25">
      <c r="B5" s="3" t="s">
        <v>7</v>
      </c>
      <c r="C5" s="3">
        <v>90000</v>
      </c>
    </row>
    <row r="6" spans="1:4" ht="19.5" customHeight="1" x14ac:dyDescent="0.25">
      <c r="B6" s="3" t="s">
        <v>8</v>
      </c>
      <c r="C6" s="3">
        <v>90000</v>
      </c>
    </row>
    <row r="7" spans="1:4" ht="19.5" customHeight="1" x14ac:dyDescent="0.25">
      <c r="B7" s="3" t="s">
        <v>9</v>
      </c>
      <c r="C7" s="3"/>
    </row>
    <row r="8" spans="1:4" ht="19.5" customHeight="1" x14ac:dyDescent="0.25">
      <c r="B8" s="3" t="s">
        <v>10</v>
      </c>
      <c r="C8" s="3">
        <v>25000</v>
      </c>
    </row>
    <row r="9" spans="1:4" ht="19.5" customHeight="1" thickBot="1" x14ac:dyDescent="0.3">
      <c r="B9" s="3" t="s">
        <v>11</v>
      </c>
      <c r="C9" s="3">
        <v>45000</v>
      </c>
    </row>
    <row r="10" spans="1:4" ht="19.5" customHeight="1" thickBot="1" x14ac:dyDescent="0.3">
      <c r="A10" s="1" t="s">
        <v>16</v>
      </c>
      <c r="D10" s="4">
        <f>SUM(C11:C12)</f>
        <v>18180</v>
      </c>
    </row>
    <row r="11" spans="1:4" ht="19.5" customHeight="1" x14ac:dyDescent="0.25">
      <c r="B11" s="3" t="s">
        <v>17</v>
      </c>
      <c r="C11" s="3">
        <v>8180</v>
      </c>
    </row>
    <row r="12" spans="1:4" ht="19.5" customHeight="1" thickBot="1" x14ac:dyDescent="0.3">
      <c r="B12" s="3" t="s">
        <v>18</v>
      </c>
      <c r="C12" s="3">
        <v>10000</v>
      </c>
    </row>
    <row r="13" spans="1:4" ht="19.5" customHeight="1" thickBot="1" x14ac:dyDescent="0.3">
      <c r="A13" s="1" t="s">
        <v>19</v>
      </c>
      <c r="D13" s="4">
        <f>SUM(C14:C16)-SUM(C11:C12)</f>
        <v>398381.27</v>
      </c>
    </row>
    <row r="14" spans="1:4" ht="19.5" customHeight="1" x14ac:dyDescent="0.25">
      <c r="B14" s="3" t="s">
        <v>1</v>
      </c>
      <c r="C14" s="3">
        <v>5465.92</v>
      </c>
    </row>
    <row r="15" spans="1:4" ht="19.5" customHeight="1" x14ac:dyDescent="0.25">
      <c r="B15" s="3" t="s">
        <v>2</v>
      </c>
      <c r="C15" s="3">
        <v>19901.349999999999</v>
      </c>
    </row>
    <row r="16" spans="1:4" ht="19.5" customHeight="1" thickBot="1" x14ac:dyDescent="0.3">
      <c r="B16" s="3" t="s">
        <v>3</v>
      </c>
      <c r="C16" s="3">
        <v>391194</v>
      </c>
    </row>
    <row r="17" spans="1:4" ht="19.5" customHeight="1" thickBot="1" x14ac:dyDescent="0.3">
      <c r="A17" s="1" t="s">
        <v>20</v>
      </c>
      <c r="D17" s="4">
        <f>SUM(C18:C19)</f>
        <v>252720</v>
      </c>
    </row>
    <row r="18" spans="1:4" ht="19.5" customHeight="1" x14ac:dyDescent="0.25">
      <c r="B18" s="3" t="s">
        <v>4</v>
      </c>
      <c r="C18" s="3">
        <v>67720</v>
      </c>
    </row>
    <row r="19" spans="1:4" ht="19.5" customHeight="1" thickBot="1" x14ac:dyDescent="0.3">
      <c r="B19" s="3" t="s">
        <v>5</v>
      </c>
      <c r="C19" s="3">
        <v>185000</v>
      </c>
    </row>
    <row r="20" spans="1:4" ht="19.5" customHeight="1" thickBot="1" x14ac:dyDescent="0.3">
      <c r="A20" s="1" t="s">
        <v>22</v>
      </c>
      <c r="B20" s="5"/>
      <c r="C20" s="5"/>
      <c r="D20" s="4">
        <f>SUM(C21:C22)</f>
        <v>92888.46</v>
      </c>
    </row>
    <row r="21" spans="1:4" ht="19.5" customHeight="1" x14ac:dyDescent="0.25">
      <c r="B21" s="3" t="s">
        <v>12</v>
      </c>
      <c r="C21" s="3">
        <v>92888.46</v>
      </c>
    </row>
    <row r="22" spans="1:4" ht="19.5" customHeight="1" x14ac:dyDescent="0.25">
      <c r="B22" s="3" t="s">
        <v>13</v>
      </c>
      <c r="C22" s="3"/>
    </row>
    <row r="23" spans="1:4" ht="19.5" customHeight="1" x14ac:dyDescent="0.25">
      <c r="A23" s="1" t="s">
        <v>23</v>
      </c>
    </row>
    <row r="24" spans="1:4" ht="19.5" customHeight="1" x14ac:dyDescent="0.25">
      <c r="B24" s="3" t="s">
        <v>24</v>
      </c>
      <c r="C24" s="3">
        <v>173579</v>
      </c>
    </row>
    <row r="25" spans="1:4" ht="19.5" customHeight="1" x14ac:dyDescent="0.25">
      <c r="B25" s="3" t="s">
        <v>25</v>
      </c>
      <c r="C25" s="3"/>
    </row>
    <row r="26" spans="1:4" ht="19.5" customHeight="1" thickBot="1" x14ac:dyDescent="0.3">
      <c r="B26" s="3" t="s">
        <v>26</v>
      </c>
      <c r="C26" s="3"/>
    </row>
    <row r="27" spans="1:4" ht="19.5" customHeight="1" thickBot="1" x14ac:dyDescent="0.3">
      <c r="A27" s="1" t="s">
        <v>14</v>
      </c>
      <c r="D27" s="4">
        <v>27619</v>
      </c>
    </row>
    <row r="28" spans="1:4" ht="19.5" customHeight="1" thickBot="1" x14ac:dyDescent="0.3"/>
    <row r="29" spans="1:4" ht="19.5" customHeight="1" thickBot="1" x14ac:dyDescent="0.3">
      <c r="A29" s="1" t="s">
        <v>27</v>
      </c>
      <c r="B29" s="3" t="s">
        <v>15</v>
      </c>
      <c r="C29" s="6">
        <v>33060</v>
      </c>
      <c r="D29" s="4">
        <f>C29</f>
        <v>33060</v>
      </c>
    </row>
    <row r="30" spans="1:4" ht="19.5" customHeight="1" thickBot="1" x14ac:dyDescent="0.3"/>
    <row r="31" spans="1:4" ht="19.5" customHeight="1" thickBot="1" x14ac:dyDescent="0.3">
      <c r="A31" s="1" t="s">
        <v>28</v>
      </c>
      <c r="D31" s="4">
        <f>C32-C33</f>
        <v>86376</v>
      </c>
    </row>
    <row r="32" spans="1:4" ht="19.5" customHeight="1" x14ac:dyDescent="0.25">
      <c r="B32" s="3" t="s">
        <v>29</v>
      </c>
      <c r="C32" s="3">
        <v>87583.1</v>
      </c>
    </row>
    <row r="33" spans="1:4" ht="19.5" customHeight="1" x14ac:dyDescent="0.25">
      <c r="B33" s="3" t="s">
        <v>30</v>
      </c>
      <c r="C33" s="3">
        <v>1207.0999999999999</v>
      </c>
    </row>
    <row r="34" spans="1:4" ht="19.5" customHeight="1" thickBot="1" x14ac:dyDescent="0.3"/>
    <row r="35" spans="1:4" ht="19.5" customHeight="1" thickBot="1" x14ac:dyDescent="0.3">
      <c r="A35" s="1" t="s">
        <v>31</v>
      </c>
      <c r="D35" s="4">
        <f>C36-C37</f>
        <v>2207203</v>
      </c>
    </row>
    <row r="36" spans="1:4" ht="19.5" customHeight="1" x14ac:dyDescent="0.25">
      <c r="B36" s="3" t="s">
        <v>32</v>
      </c>
      <c r="C36" s="3">
        <v>18759200</v>
      </c>
    </row>
    <row r="37" spans="1:4" ht="19.5" customHeight="1" x14ac:dyDescent="0.25">
      <c r="B37" s="3" t="s">
        <v>33</v>
      </c>
      <c r="C37" s="3">
        <v>16551997</v>
      </c>
    </row>
    <row r="38" spans="1:4" ht="19.5" customHeight="1" thickBot="1" x14ac:dyDescent="0.3"/>
    <row r="39" spans="1:4" ht="19.5" customHeight="1" thickBot="1" x14ac:dyDescent="0.3">
      <c r="A39" s="1" t="s">
        <v>35</v>
      </c>
      <c r="D39" s="4"/>
    </row>
    <row r="40" spans="1:4" ht="19.5" customHeight="1" x14ac:dyDescent="0.25">
      <c r="B40" s="3" t="s">
        <v>34</v>
      </c>
      <c r="C40" s="3">
        <v>49580</v>
      </c>
    </row>
    <row r="41" spans="1:4" ht="19.5" customHeight="1" x14ac:dyDescent="0.25">
      <c r="B41" s="3" t="s">
        <v>36</v>
      </c>
      <c r="C41" s="3"/>
    </row>
  </sheetData>
  <mergeCells count="1">
    <mergeCell ref="A1:D1"/>
  </mergeCells>
  <printOptions horizontalCentered="1"/>
  <pageMargins left="0" right="0" top="0" bottom="0" header="0.31496062992125984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2025-12-04T08:07:46Z</cp:lastPrinted>
  <dcterms:created xsi:type="dcterms:W3CDTF">2025-11-01T12:48:35Z</dcterms:created>
  <dcterms:modified xsi:type="dcterms:W3CDTF">2025-12-04T10:30:45Z</dcterms:modified>
</cp:coreProperties>
</file>