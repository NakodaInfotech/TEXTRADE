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GIT\TEXTRADE\TEXTRADE\TEXTRADE\TEXTRADE\DOCUMENTATION\AADHAR CORPORATION\"/>
    </mc:Choice>
  </mc:AlternateContent>
  <xr:revisionPtr revIDLastSave="0" documentId="13_ncr:1_{1D874CEC-1C4A-47F5-82E8-E58BDA980588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2" l="1"/>
  <c r="C6" i="2"/>
  <c r="P34" i="2"/>
  <c r="L34" i="2"/>
  <c r="L33" i="2"/>
  <c r="E21" i="2"/>
  <c r="B21" i="2"/>
  <c r="F3" i="2"/>
  <c r="S12" i="1"/>
  <c r="S13" i="1"/>
  <c r="S14" i="1"/>
  <c r="S11" i="1"/>
  <c r="R11" i="1"/>
  <c r="R15" i="1" s="1"/>
  <c r="R12" i="1"/>
  <c r="R13" i="1"/>
  <c r="R14" i="1"/>
  <c r="H13" i="1"/>
  <c r="C13" i="1"/>
  <c r="I2" i="1"/>
  <c r="I3" i="1" s="1"/>
  <c r="S15" i="1" l="1"/>
  <c r="C11" i="2"/>
  <c r="H11" i="2" s="1"/>
  <c r="C10" i="2"/>
  <c r="F4" i="2"/>
  <c r="D16" i="1"/>
  <c r="F5" i="2" l="1"/>
  <c r="F6" i="2" s="1"/>
  <c r="C25" i="2" s="1"/>
  <c r="C26" i="2" s="1"/>
  <c r="C27" i="2" s="1"/>
  <c r="H10" i="2"/>
  <c r="H12" i="2" s="1"/>
  <c r="D17" i="1"/>
  <c r="D18" i="1" s="1"/>
  <c r="C28" i="2" l="1"/>
  <c r="F12" i="2"/>
  <c r="K10" i="2" l="1"/>
  <c r="M10" i="2" s="1"/>
  <c r="K11" i="2"/>
  <c r="M11" i="2" s="1"/>
  <c r="K9" i="2"/>
  <c r="M9" i="2" s="1"/>
  <c r="M12" i="2" l="1"/>
  <c r="C29" i="2" s="1"/>
</calcChain>
</file>

<file path=xl/sharedStrings.xml><?xml version="1.0" encoding="utf-8"?>
<sst xmlns="http://schemas.openxmlformats.org/spreadsheetml/2006/main" count="60" uniqueCount="37">
  <si>
    <t>REED</t>
  </si>
  <si>
    <t>PICKS</t>
  </si>
  <si>
    <t>REED SPACE</t>
  </si>
  <si>
    <t>DENTS PER INCH</t>
  </si>
  <si>
    <t>TOTAL DENTS</t>
  </si>
  <si>
    <t>WARP PATTERN</t>
  </si>
  <si>
    <t>THREAD</t>
  </si>
  <si>
    <t>COUNT</t>
  </si>
  <si>
    <t>A</t>
  </si>
  <si>
    <t>B</t>
  </si>
  <si>
    <t>TOTAL</t>
  </si>
  <si>
    <t>WEFT PATTERN</t>
  </si>
  <si>
    <t>DRAWINGS</t>
  </si>
  <si>
    <t>SR</t>
  </si>
  <si>
    <t>ENDS</t>
  </si>
  <si>
    <t>REPEAT DENTS</t>
  </si>
  <si>
    <t>TOTAL DENTS PER REPEAT</t>
  </si>
  <si>
    <t>DENTS</t>
  </si>
  <si>
    <t>TOTAL ENDS PER REPEAT</t>
  </si>
  <si>
    <t>REPEAT ENDS</t>
  </si>
  <si>
    <t>TOTAL DENTS REPEAT</t>
  </si>
  <si>
    <t>TOTAL ENDS</t>
  </si>
  <si>
    <t>ENDS PER INCH (EPI)</t>
  </si>
  <si>
    <t>a</t>
  </si>
  <si>
    <t>MAIN REED SPACE</t>
  </si>
  <si>
    <t>SELVEDGE INCH RIGHT</t>
  </si>
  <si>
    <t>SELVEDGE INCH LEFT</t>
  </si>
  <si>
    <t>TOTAL DENTS MAIN</t>
  </si>
  <si>
    <t>TOTAL SELVEDGE DENTS</t>
  </si>
  <si>
    <t>SELVEDGE DENTS LEFT PER INCH</t>
  </si>
  <si>
    <t>SELVEDGE DENTS RIGHT PER INCH</t>
  </si>
  <si>
    <t>FINAL DENTS</t>
  </si>
  <si>
    <t>SELVEDGE ENDS LEFT</t>
  </si>
  <si>
    <t>SELVEDGE ENDS RIGHT</t>
  </si>
  <si>
    <t>MAIN ENDS</t>
  </si>
  <si>
    <t>T.ENDS</t>
  </si>
  <si>
    <t xml:space="preserve">BAL SECTION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</si>
</sst>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15">
    <xf numFmtId="0" fontId="0" fillId="0" borderId="0" xfId="0"/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2" borderId="11" xfId="1" applyBorder="1"/>
    <xf numFmtId="0" fontId="0" fillId="0" borderId="9" xfId="0" applyBorder="1"/>
    <xf numFmtId="0" fontId="0" fillId="0" borderId="15" xfId="0" applyBorder="1"/>
    <xf numFmtId="0" fontId="0" fillId="3" borderId="6" xfId="2" applyFont="1" applyBorder="1" applyAlignment="1">
      <alignment horizontal="center"/>
    </xf>
    <xf numFmtId="0" fontId="0" fillId="3" borderId="7" xfId="2" applyFont="1" applyBorder="1" applyAlignment="1">
      <alignment horizontal="center"/>
    </xf>
    <xf numFmtId="0" fontId="0" fillId="3" borderId="8" xfId="2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3"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8"/>
  <sheetViews>
    <sheetView workbookViewId="0">
      <selection activeCell="B1" sqref="B1:U22"/>
    </sheetView>
  </sheetViews>
  <sheetFormatPr defaultRowHeight="15" x14ac:dyDescent="0.25"/>
  <cols>
    <col min="3" max="3" width="20.42578125" bestFit="1" customWidth="1"/>
    <col min="8" max="8" width="18.140625" customWidth="1"/>
    <col min="12" max="12" width="6.28515625" customWidth="1"/>
    <col min="17" max="17" width="23.85546875" bestFit="1" customWidth="1"/>
    <col min="19" max="19" width="12.7109375" bestFit="1" customWidth="1"/>
    <col min="20" max="20" width="22.85546875" bestFit="1" customWidth="1"/>
  </cols>
  <sheetData>
    <row r="2" spans="2:20" x14ac:dyDescent="0.25">
      <c r="C2" t="s">
        <v>0</v>
      </c>
      <c r="D2">
        <v>40</v>
      </c>
      <c r="H2" t="s">
        <v>3</v>
      </c>
      <c r="I2">
        <f>D2/2</f>
        <v>20</v>
      </c>
    </row>
    <row r="3" spans="2:20" x14ac:dyDescent="0.25">
      <c r="C3" t="s">
        <v>1</v>
      </c>
      <c r="D3">
        <v>68</v>
      </c>
      <c r="H3" t="s">
        <v>4</v>
      </c>
      <c r="I3">
        <f>I2*D4</f>
        <v>1300</v>
      </c>
    </row>
    <row r="4" spans="2:20" x14ac:dyDescent="0.25">
      <c r="C4" t="s">
        <v>2</v>
      </c>
      <c r="D4">
        <v>65</v>
      </c>
    </row>
    <row r="8" spans="2:20" ht="15.75" thickBot="1" x14ac:dyDescent="0.3"/>
    <row r="9" spans="2:20" ht="15.75" thickBot="1" x14ac:dyDescent="0.3">
      <c r="C9" t="s">
        <v>5</v>
      </c>
      <c r="H9" t="s">
        <v>11</v>
      </c>
      <c r="L9" s="6" t="s">
        <v>12</v>
      </c>
      <c r="M9" s="7"/>
      <c r="N9" s="7"/>
      <c r="O9" s="7"/>
      <c r="P9" s="7"/>
      <c r="Q9" s="7"/>
      <c r="R9" s="7"/>
      <c r="S9" s="7"/>
      <c r="T9" s="8"/>
    </row>
    <row r="10" spans="2:20" x14ac:dyDescent="0.25">
      <c r="C10" t="s">
        <v>6</v>
      </c>
      <c r="D10" t="s">
        <v>7</v>
      </c>
      <c r="H10" t="s">
        <v>6</v>
      </c>
      <c r="I10" t="s">
        <v>7</v>
      </c>
      <c r="L10" s="2" t="s">
        <v>13</v>
      </c>
      <c r="M10" s="9" t="s">
        <v>14</v>
      </c>
      <c r="N10" s="10"/>
      <c r="O10" s="11"/>
      <c r="P10" s="1"/>
      <c r="Q10" s="2" t="s">
        <v>15</v>
      </c>
      <c r="R10" s="2" t="s">
        <v>17</v>
      </c>
      <c r="S10" s="2" t="s">
        <v>19</v>
      </c>
      <c r="T10" s="2" t="s">
        <v>14</v>
      </c>
    </row>
    <row r="11" spans="2:20" x14ac:dyDescent="0.25">
      <c r="C11">
        <v>15</v>
      </c>
      <c r="D11" t="s">
        <v>8</v>
      </c>
      <c r="H11">
        <v>1</v>
      </c>
      <c r="I11" t="s">
        <v>8</v>
      </c>
      <c r="L11" s="4">
        <v>1</v>
      </c>
      <c r="M11" s="4">
        <v>1</v>
      </c>
      <c r="N11" s="4">
        <v>2</v>
      </c>
      <c r="O11" s="4">
        <v>3</v>
      </c>
      <c r="P11" s="4">
        <v>4</v>
      </c>
      <c r="Q11" s="4">
        <v>1</v>
      </c>
      <c r="R11" s="4">
        <f t="shared" ref="R11:R13" si="0">Q11*COUNT(L11)</f>
        <v>1</v>
      </c>
      <c r="S11" s="4">
        <f>Q11*COUNT(M11:P11)</f>
        <v>4</v>
      </c>
      <c r="T11" s="4"/>
    </row>
    <row r="12" spans="2:20" x14ac:dyDescent="0.25">
      <c r="C12">
        <v>1</v>
      </c>
      <c r="D12" t="s">
        <v>9</v>
      </c>
      <c r="L12" s="4">
        <v>2</v>
      </c>
      <c r="M12" s="4">
        <v>1</v>
      </c>
      <c r="N12" s="4">
        <v>2</v>
      </c>
      <c r="O12" s="4">
        <v>3</v>
      </c>
      <c r="P12" s="4">
        <v>4</v>
      </c>
      <c r="Q12" s="4">
        <v>1</v>
      </c>
      <c r="R12" s="4">
        <f t="shared" si="0"/>
        <v>1</v>
      </c>
      <c r="S12" s="4">
        <f t="shared" ref="S12:S14" si="1">Q12*COUNT(M12:P12)</f>
        <v>4</v>
      </c>
      <c r="T12" s="4"/>
    </row>
    <row r="13" spans="2:20" x14ac:dyDescent="0.25">
      <c r="B13" t="s">
        <v>10</v>
      </c>
      <c r="C13">
        <f>SUM(C11:C12)</f>
        <v>16</v>
      </c>
      <c r="G13" t="s">
        <v>10</v>
      </c>
      <c r="H13">
        <f>SUM(H11:H12)</f>
        <v>1</v>
      </c>
      <c r="L13" s="4">
        <v>3</v>
      </c>
      <c r="M13" s="4">
        <v>1</v>
      </c>
      <c r="N13" s="4">
        <v>5</v>
      </c>
      <c r="O13" s="4">
        <v>6</v>
      </c>
      <c r="P13" s="4">
        <v>6</v>
      </c>
      <c r="Q13" s="4">
        <v>1</v>
      </c>
      <c r="R13" s="4">
        <f t="shared" si="0"/>
        <v>1</v>
      </c>
      <c r="S13" s="4">
        <f t="shared" si="1"/>
        <v>4</v>
      </c>
      <c r="T13" s="4"/>
    </row>
    <row r="14" spans="2:20" x14ac:dyDescent="0.25">
      <c r="L14" s="4">
        <v>4</v>
      </c>
      <c r="M14" s="4">
        <v>5</v>
      </c>
      <c r="N14" s="4">
        <v>6</v>
      </c>
      <c r="O14" s="4">
        <v>6</v>
      </c>
      <c r="P14" s="4">
        <v>5</v>
      </c>
      <c r="Q14" s="4">
        <v>1</v>
      </c>
      <c r="R14" s="4">
        <f>Q14*COUNT(L14)</f>
        <v>1</v>
      </c>
      <c r="S14" s="4">
        <f t="shared" si="1"/>
        <v>4</v>
      </c>
      <c r="T14" s="4"/>
    </row>
    <row r="15" spans="2:20" x14ac:dyDescent="0.25">
      <c r="L15" s="3"/>
      <c r="M15" s="3"/>
      <c r="N15" s="3"/>
      <c r="O15" s="3"/>
      <c r="P15" s="3"/>
      <c r="Q15" s="3" t="s">
        <v>16</v>
      </c>
      <c r="R15" s="3">
        <f>SUM(R11:R14)</f>
        <v>4</v>
      </c>
      <c r="S15" s="3">
        <f>SUM(S11:S14)</f>
        <v>16</v>
      </c>
      <c r="T15" s="3" t="s">
        <v>18</v>
      </c>
    </row>
    <row r="16" spans="2:20" x14ac:dyDescent="0.25">
      <c r="C16" t="s">
        <v>20</v>
      </c>
      <c r="D16">
        <f>I3/R15</f>
        <v>325</v>
      </c>
    </row>
    <row r="17" spans="3:4" x14ac:dyDescent="0.25">
      <c r="C17" t="s">
        <v>21</v>
      </c>
      <c r="D17">
        <f>S15*D16</f>
        <v>5200</v>
      </c>
    </row>
    <row r="18" spans="3:4" x14ac:dyDescent="0.25">
      <c r="C18" t="s">
        <v>22</v>
      </c>
      <c r="D18">
        <f>D17/D4</f>
        <v>80</v>
      </c>
    </row>
  </sheetData>
  <mergeCells count="2">
    <mergeCell ref="L9:T9"/>
    <mergeCell ref="M10:O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R34"/>
  <sheetViews>
    <sheetView tabSelected="1" zoomScale="90" zoomScaleNormal="90" workbookViewId="0">
      <selection activeCell="H7" sqref="H7"/>
    </sheetView>
  </sheetViews>
  <sheetFormatPr defaultRowHeight="15" x14ac:dyDescent="0.25"/>
  <cols>
    <col min="2" max="2" width="31.140625" bestFit="1" customWidth="1"/>
    <col min="3" max="3" width="11.5703125" customWidth="1"/>
    <col min="5" max="5" width="22.28515625" bestFit="1" customWidth="1"/>
    <col min="15" max="15" width="23.85546875" bestFit="1" customWidth="1"/>
    <col min="17" max="17" width="12.7109375" bestFit="1" customWidth="1"/>
  </cols>
  <sheetData>
    <row r="3" spans="2:13" x14ac:dyDescent="0.25">
      <c r="B3" t="s">
        <v>0</v>
      </c>
      <c r="C3">
        <v>64</v>
      </c>
      <c r="E3" t="s">
        <v>3</v>
      </c>
      <c r="F3">
        <f>C3/2</f>
        <v>32</v>
      </c>
    </row>
    <row r="4" spans="2:13" x14ac:dyDescent="0.25">
      <c r="B4" t="s">
        <v>1</v>
      </c>
      <c r="C4">
        <v>64</v>
      </c>
      <c r="E4" t="s">
        <v>27</v>
      </c>
      <c r="F4">
        <f>F3*C6</f>
        <v>2048</v>
      </c>
    </row>
    <row r="5" spans="2:13" x14ac:dyDescent="0.25">
      <c r="B5" t="s">
        <v>2</v>
      </c>
      <c r="C5">
        <v>65</v>
      </c>
      <c r="E5" t="s">
        <v>28</v>
      </c>
      <c r="F5">
        <f>SUM(C10:C11)</f>
        <v>32</v>
      </c>
    </row>
    <row r="6" spans="2:13" x14ac:dyDescent="0.25">
      <c r="B6" t="s">
        <v>24</v>
      </c>
      <c r="C6">
        <f>C5-C8-C9</f>
        <v>64</v>
      </c>
      <c r="E6" t="s">
        <v>31</v>
      </c>
      <c r="F6">
        <f>SUM(F4:F5)</f>
        <v>2080</v>
      </c>
    </row>
    <row r="8" spans="2:13" x14ac:dyDescent="0.25">
      <c r="B8" t="s">
        <v>26</v>
      </c>
      <c r="C8">
        <v>0.5</v>
      </c>
    </row>
    <row r="9" spans="2:13" x14ac:dyDescent="0.25">
      <c r="B9" t="s">
        <v>25</v>
      </c>
      <c r="C9">
        <v>0.5</v>
      </c>
      <c r="H9" t="s">
        <v>35</v>
      </c>
      <c r="K9">
        <f>ROUND(F$12/L$12,0)</f>
        <v>49</v>
      </c>
      <c r="L9">
        <v>80</v>
      </c>
      <c r="M9">
        <f>L9*K9</f>
        <v>3920</v>
      </c>
    </row>
    <row r="10" spans="2:13" x14ac:dyDescent="0.25">
      <c r="B10" t="s">
        <v>29</v>
      </c>
      <c r="C10">
        <f>C8*F3</f>
        <v>16</v>
      </c>
      <c r="E10" t="s">
        <v>32</v>
      </c>
      <c r="F10">
        <v>2</v>
      </c>
      <c r="H10">
        <f>F10*C10</f>
        <v>32</v>
      </c>
      <c r="K10">
        <f t="shared" ref="K10:K11" si="0">ROUND(F$12/L$12,0)</f>
        <v>49</v>
      </c>
      <c r="L10">
        <v>2</v>
      </c>
      <c r="M10">
        <f>ROUND(L10*K10,0)</f>
        <v>98</v>
      </c>
    </row>
    <row r="11" spans="2:13" x14ac:dyDescent="0.25">
      <c r="B11" t="s">
        <v>30</v>
      </c>
      <c r="C11">
        <f>C9*F3</f>
        <v>16</v>
      </c>
      <c r="E11" t="s">
        <v>33</v>
      </c>
      <c r="F11">
        <v>2</v>
      </c>
      <c r="H11">
        <f>F11*C11</f>
        <v>32</v>
      </c>
      <c r="K11">
        <f t="shared" si="0"/>
        <v>49</v>
      </c>
      <c r="L11">
        <v>2</v>
      </c>
      <c r="M11">
        <f>ROUND(L11*K11,0)</f>
        <v>98</v>
      </c>
    </row>
    <row r="12" spans="2:13" x14ac:dyDescent="0.25">
      <c r="E12" t="s">
        <v>34</v>
      </c>
      <c r="F12">
        <f>C26-H12</f>
        <v>4096</v>
      </c>
      <c r="H12">
        <f>SUM(H10:H11)</f>
        <v>64</v>
      </c>
      <c r="L12">
        <f>SUM(L9:L11)</f>
        <v>84</v>
      </c>
      <c r="M12">
        <f>SUM(M9:M11)</f>
        <v>4116</v>
      </c>
    </row>
    <row r="16" spans="2:13" ht="15.75" thickBot="1" x14ac:dyDescent="0.3"/>
    <row r="17" spans="1:18" ht="15.75" thickBot="1" x14ac:dyDescent="0.3">
      <c r="B17" t="s">
        <v>5</v>
      </c>
      <c r="E17" t="s">
        <v>11</v>
      </c>
      <c r="H17" s="6"/>
      <c r="I17" s="7"/>
      <c r="J17" s="7"/>
      <c r="K17" s="7"/>
      <c r="L17" s="7"/>
      <c r="M17" s="7"/>
      <c r="N17" s="7"/>
      <c r="O17" s="7"/>
      <c r="P17" s="7"/>
      <c r="Q17" s="7"/>
      <c r="R17" s="8"/>
    </row>
    <row r="18" spans="1:18" x14ac:dyDescent="0.25">
      <c r="B18" t="s">
        <v>6</v>
      </c>
      <c r="C18" t="s">
        <v>7</v>
      </c>
      <c r="E18" t="s">
        <v>6</v>
      </c>
      <c r="F18" t="s">
        <v>7</v>
      </c>
      <c r="H18" s="2"/>
      <c r="I18" s="12"/>
      <c r="J18" s="13"/>
      <c r="K18" s="13"/>
      <c r="L18" s="13"/>
      <c r="M18" s="13"/>
      <c r="N18" s="14"/>
      <c r="O18" s="2"/>
      <c r="P18" s="2"/>
      <c r="Q18" s="2"/>
      <c r="R18" s="2"/>
    </row>
    <row r="19" spans="1:18" x14ac:dyDescent="0.25">
      <c r="E19">
        <v>1</v>
      </c>
      <c r="F19" t="s">
        <v>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5">
      <c r="B20">
        <v>1</v>
      </c>
      <c r="C20" t="s">
        <v>23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t="s">
        <v>10</v>
      </c>
      <c r="B21">
        <f>SUM(B19:B20)</f>
        <v>1</v>
      </c>
      <c r="D21" t="s">
        <v>10</v>
      </c>
      <c r="E21">
        <f>SUM(E19:E20)</f>
        <v>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5">
      <c r="I23" s="5"/>
      <c r="J23" s="5"/>
      <c r="K23" s="5"/>
      <c r="L23" s="5"/>
      <c r="M23" s="5"/>
      <c r="Q23" s="4"/>
    </row>
    <row r="24" spans="1:18" x14ac:dyDescent="0.25">
      <c r="H24" s="3"/>
      <c r="I24" s="3"/>
      <c r="J24" s="3"/>
      <c r="K24" s="3"/>
      <c r="L24" s="3"/>
      <c r="M24" s="3"/>
      <c r="N24" s="3"/>
      <c r="O24" s="3" t="s">
        <v>16</v>
      </c>
      <c r="P24" s="3">
        <v>3</v>
      </c>
      <c r="Q24" s="3">
        <v>6</v>
      </c>
      <c r="R24" s="3" t="s">
        <v>18</v>
      </c>
    </row>
    <row r="25" spans="1:18" x14ac:dyDescent="0.25">
      <c r="B25" t="s">
        <v>20</v>
      </c>
      <c r="C25">
        <f>F6/P24</f>
        <v>693.33333333333337</v>
      </c>
    </row>
    <row r="26" spans="1:18" x14ac:dyDescent="0.25">
      <c r="B26" t="s">
        <v>21</v>
      </c>
      <c r="C26">
        <f>_xlfn.CEILING.MATH((Q24*C25))</f>
        <v>4160</v>
      </c>
    </row>
    <row r="27" spans="1:18" x14ac:dyDescent="0.25">
      <c r="B27" t="s">
        <v>22</v>
      </c>
      <c r="C27">
        <f>C26/C5</f>
        <v>64</v>
      </c>
    </row>
    <row r="28" spans="1:18" x14ac:dyDescent="0.25">
      <c r="C28">
        <f>C27*C5</f>
        <v>4160</v>
      </c>
    </row>
    <row r="29" spans="1:18" x14ac:dyDescent="0.25">
      <c r="B29" t="s">
        <v>36</v>
      </c>
      <c r="C29">
        <f>F12-M12</f>
        <v>-20</v>
      </c>
    </row>
    <row r="33" spans="12:16" x14ac:dyDescent="0.25">
      <c r="L33">
        <f>166*53</f>
        <v>8798</v>
      </c>
    </row>
    <row r="34" spans="12:16" x14ac:dyDescent="0.25">
      <c r="L34">
        <f>8803-8798</f>
        <v>5</v>
      </c>
      <c r="P34">
        <f>8679+120</f>
        <v>8799</v>
      </c>
    </row>
  </sheetData>
  <mergeCells count="2">
    <mergeCell ref="H17:R17"/>
    <mergeCell ref="I18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Gulkit Jain</cp:lastModifiedBy>
  <dcterms:created xsi:type="dcterms:W3CDTF">2025-09-05T09:31:51Z</dcterms:created>
  <dcterms:modified xsi:type="dcterms:W3CDTF">2025-09-06T10:18:20Z</dcterms:modified>
</cp:coreProperties>
</file>